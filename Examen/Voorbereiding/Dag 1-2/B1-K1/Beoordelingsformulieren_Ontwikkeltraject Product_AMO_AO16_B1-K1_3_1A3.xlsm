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K:\60-ICT\2016\AO\P1 - AMO\EP\EP1 - B1-K1\A\200625 DvD - voor herpublicatie\Beoordelingsformulier\"/>
    </mc:Choice>
  </mc:AlternateContent>
  <bookViews>
    <workbookView xWindow="0" yWindow="0" windowWidth="20580" windowHeight="1164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4" r:id="rId6"/>
    <sheet name="B1-K1-W1" sheetId="95" r:id="rId7"/>
    <sheet name="B1-K1-W2" sheetId="96" r:id="rId8"/>
    <sheet name="B1-K1-W3" sheetId="97" r:id="rId9"/>
    <sheet name="B1-K1-W4" sheetId="98" r:id="rId10"/>
  </sheets>
  <functionGroups builtInGroupCount="18"/>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3" i="98" l="1"/>
  <c r="E31" i="98" s="1"/>
  <c r="D33" i="98"/>
  <c r="O27" i="98"/>
  <c r="M27" i="98"/>
  <c r="O26" i="98"/>
  <c r="D4" i="98" s="1"/>
  <c r="M26" i="98"/>
  <c r="O25" i="98"/>
  <c r="M25" i="98"/>
  <c r="O24" i="98"/>
  <c r="M24" i="98"/>
  <c r="B5" i="98" s="1"/>
  <c r="B10" i="98"/>
  <c r="C1" i="98"/>
  <c r="B11" i="98" s="1"/>
  <c r="O34" i="97"/>
  <c r="M34" i="97"/>
  <c r="O33" i="97"/>
  <c r="M33" i="97"/>
  <c r="J42" i="97" s="1"/>
  <c r="H42" i="97" s="1"/>
  <c r="O32" i="97"/>
  <c r="M32" i="97"/>
  <c r="O27" i="97"/>
  <c r="M27" i="97"/>
  <c r="J41" i="97" s="1"/>
  <c r="H41" i="97" s="1"/>
  <c r="O26" i="97"/>
  <c r="M26" i="97"/>
  <c r="O25" i="97"/>
  <c r="M25" i="97"/>
  <c r="B5" i="97" s="1"/>
  <c r="D65" i="97" s="1"/>
  <c r="O24" i="97"/>
  <c r="M24" i="97"/>
  <c r="J40" i="97" s="1"/>
  <c r="B10" i="97"/>
  <c r="D4" i="97"/>
  <c r="C1" i="97"/>
  <c r="B11" i="97" s="1"/>
  <c r="D38" i="96"/>
  <c r="D35" i="96"/>
  <c r="O27" i="96"/>
  <c r="M27" i="96"/>
  <c r="O26" i="96"/>
  <c r="M26" i="96"/>
  <c r="O25" i="96"/>
  <c r="M25" i="96"/>
  <c r="O24" i="96"/>
  <c r="M24" i="96"/>
  <c r="B10" i="96"/>
  <c r="B5" i="96"/>
  <c r="D36" i="96" s="1"/>
  <c r="D4" i="96"/>
  <c r="C1" i="96"/>
  <c r="B11" i="96" s="1"/>
  <c r="J36" i="95"/>
  <c r="E34" i="95" s="1"/>
  <c r="D36" i="95"/>
  <c r="O30" i="95"/>
  <c r="M30" i="95"/>
  <c r="B5" i="95" s="1"/>
  <c r="O29" i="95"/>
  <c r="M29" i="95"/>
  <c r="O28" i="95"/>
  <c r="M28" i="95"/>
  <c r="O27" i="95"/>
  <c r="M27" i="95"/>
  <c r="O26" i="95"/>
  <c r="M26" i="95"/>
  <c r="O25" i="95"/>
  <c r="M25" i="95"/>
  <c r="O24" i="95"/>
  <c r="M24" i="95"/>
  <c r="B10" i="95"/>
  <c r="C1" i="95"/>
  <c r="B11" i="95" s="1"/>
  <c r="B12" i="94"/>
  <c r="C11" i="94"/>
  <c r="B11" i="94"/>
  <c r="B10" i="94"/>
  <c r="B9" i="94"/>
  <c r="C5" i="94"/>
  <c r="B5" i="94"/>
  <c r="D51" i="95" l="1"/>
  <c r="D43" i="95"/>
  <c r="D50" i="95"/>
  <c r="D42" i="95"/>
  <c r="D57" i="95"/>
  <c r="D49" i="95"/>
  <c r="D41" i="95"/>
  <c r="D55" i="95"/>
  <c r="D47" i="95"/>
  <c r="D53" i="95"/>
  <c r="D56" i="95"/>
  <c r="D48" i="95"/>
  <c r="D40" i="95"/>
  <c r="D45" i="95"/>
  <c r="D54" i="95"/>
  <c r="D46" i="95"/>
  <c r="D52" i="95"/>
  <c r="D44" i="95"/>
  <c r="D43" i="98"/>
  <c r="D41" i="98"/>
  <c r="D37" i="98"/>
  <c r="D40" i="98"/>
  <c r="D39" i="98"/>
  <c r="D38" i="98"/>
  <c r="D42" i="98"/>
  <c r="D37" i="96"/>
  <c r="D58" i="97"/>
  <c r="D66" i="97"/>
  <c r="D39" i="96"/>
  <c r="D52" i="97"/>
  <c r="D60" i="97"/>
  <c r="D68" i="97"/>
  <c r="D51" i="97"/>
  <c r="D67" i="97"/>
  <c r="D32" i="96"/>
  <c r="D53" i="97"/>
  <c r="D61" i="97"/>
  <c r="D69" i="97"/>
  <c r="D4" i="95"/>
  <c r="D33" i="96"/>
  <c r="D54" i="97"/>
  <c r="D62" i="97"/>
  <c r="D70" i="97"/>
  <c r="D59" i="97"/>
  <c r="D40" i="96"/>
  <c r="D41" i="96"/>
  <c r="D34" i="96"/>
  <c r="D42" i="96"/>
  <c r="D55" i="97"/>
  <c r="D63" i="97"/>
  <c r="D56" i="97"/>
  <c r="D64" i="97"/>
  <c r="D57" i="97"/>
  <c r="I42" i="97"/>
  <c r="E38" i="97"/>
  <c r="H46" i="97" s="1"/>
  <c r="I41" i="97"/>
  <c r="I40" i="97"/>
  <c r="H40" i="97"/>
  <c r="C1" i="27"/>
  <c r="B11" i="27" s="1"/>
  <c r="H47" i="97" l="1"/>
  <c r="D4" i="27"/>
  <c r="B10" i="88" l="1"/>
  <c r="C5" i="88"/>
  <c r="B5" i="88"/>
  <c r="B6" i="88" l="1"/>
  <c r="B8" i="88" l="1"/>
  <c r="E14" i="1" l="1" a="1"/>
  <c r="E14" i="1" s="1"/>
  <c r="B3" i="96" s="1"/>
  <c r="E15" i="1" a="1"/>
  <c r="E15" i="1" s="1"/>
  <c r="B3" i="97" s="1"/>
  <c r="E16" i="1" a="1"/>
  <c r="E16" i="1" s="1"/>
  <c r="B3" i="98"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B3" i="95" s="1"/>
  <c r="D14" i="1" a="1"/>
  <c r="D14" i="1" s="1"/>
  <c r="B2" i="96" s="1"/>
  <c r="D15" i="1" a="1"/>
  <c r="D15" i="1" s="1"/>
  <c r="B2" i="97" s="1"/>
  <c r="D16" i="1" a="1"/>
  <c r="D16" i="1" s="1"/>
  <c r="B2" i="98"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B2" i="95"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94" s="1"/>
  <c r="B14" i="88" l="1"/>
  <c r="B5" i="27"/>
  <c r="B4" i="27" l="1"/>
  <c r="B8" i="27" s="1"/>
  <c r="B10" i="27" l="1"/>
  <c r="C5" i="2"/>
  <c r="C6" i="2"/>
  <c r="C7" i="2"/>
  <c r="C8" i="2"/>
  <c r="C9" i="2"/>
  <c r="C10" i="2"/>
  <c r="C11" i="2"/>
  <c r="C12" i="2"/>
  <c r="C13" i="2"/>
  <c r="C14" i="2"/>
  <c r="C15" i="2"/>
  <c r="C16" i="2"/>
  <c r="C17" i="2"/>
  <c r="C18" i="2"/>
  <c r="C19" i="2"/>
  <c r="C20" i="2"/>
  <c r="C21" i="2"/>
  <c r="C22" i="2"/>
  <c r="C23" i="2"/>
  <c r="C24" i="2"/>
  <c r="C25" i="2"/>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H22" i="96" l="1"/>
  <c r="H30" i="97"/>
  <c r="H22" i="95"/>
  <c r="H22" i="98"/>
  <c r="H22" i="97"/>
  <c r="D22" i="2"/>
  <c r="D25" i="2"/>
  <c r="D24" i="2"/>
  <c r="D23" i="2"/>
  <c r="D154" i="2"/>
  <c r="D17" i="2"/>
  <c r="D9" i="2"/>
  <c r="D5" i="2"/>
  <c r="D16" i="2"/>
  <c r="D8" i="2"/>
  <c r="D7" i="2"/>
  <c r="D14" i="2"/>
  <c r="D6" i="2"/>
  <c r="D21" i="2"/>
  <c r="D13" i="2"/>
  <c r="D15" i="2"/>
  <c r="D20" i="2"/>
  <c r="D12" i="2"/>
  <c r="D19" i="2"/>
  <c r="D11" i="2"/>
  <c r="D18" i="2"/>
  <c r="D10" i="2"/>
  <c r="D4" i="2"/>
  <c r="H26" i="98" l="1"/>
  <c r="C26" i="98" s="1"/>
  <c r="F24" i="98"/>
  <c r="B42" i="97"/>
  <c r="E34" i="97"/>
  <c r="E33" i="97"/>
  <c r="E32" i="97"/>
  <c r="F27" i="97"/>
  <c r="F26" i="97"/>
  <c r="F25" i="97"/>
  <c r="F24" i="97"/>
  <c r="E27" i="96"/>
  <c r="E26" i="96"/>
  <c r="E25" i="96"/>
  <c r="E24" i="96"/>
  <c r="G29" i="95"/>
  <c r="G28" i="95"/>
  <c r="G27" i="95"/>
  <c r="G26" i="95"/>
  <c r="G25" i="95"/>
  <c r="E24" i="95"/>
  <c r="B33" i="98"/>
  <c r="E24" i="98"/>
  <c r="D32" i="97"/>
  <c r="N32" i="97" s="1"/>
  <c r="E26" i="97"/>
  <c r="E24" i="97"/>
  <c r="D27" i="96"/>
  <c r="D26" i="96"/>
  <c r="D25" i="96"/>
  <c r="D24" i="96"/>
  <c r="F29" i="95"/>
  <c r="F28" i="95"/>
  <c r="F27" i="95"/>
  <c r="F26" i="95"/>
  <c r="F25" i="95"/>
  <c r="D24" i="95"/>
  <c r="N24" i="95" s="1"/>
  <c r="H27" i="98"/>
  <c r="C27" i="98" s="1"/>
  <c r="D25" i="98"/>
  <c r="D24" i="98"/>
  <c r="N24" i="98" s="1"/>
  <c r="B41" i="97"/>
  <c r="B34" i="97"/>
  <c r="B33" i="97"/>
  <c r="B32" i="97"/>
  <c r="D27" i="97"/>
  <c r="D26" i="97"/>
  <c r="D25" i="97"/>
  <c r="N25" i="97" s="1"/>
  <c r="D24" i="97"/>
  <c r="N24" i="97" s="1"/>
  <c r="B27" i="96"/>
  <c r="B26" i="96"/>
  <c r="B25" i="96"/>
  <c r="B24" i="96"/>
  <c r="E30" i="95"/>
  <c r="E29" i="95"/>
  <c r="E28" i="95"/>
  <c r="E27" i="95"/>
  <c r="E26" i="95"/>
  <c r="E25" i="95"/>
  <c r="B24" i="95"/>
  <c r="H25" i="96"/>
  <c r="C25" i="96" s="1"/>
  <c r="H29" i="95"/>
  <c r="C29" i="95" s="1"/>
  <c r="H28" i="95"/>
  <c r="C28" i="95" s="1"/>
  <c r="H27" i="95"/>
  <c r="C27" i="95" s="1"/>
  <c r="H26" i="95"/>
  <c r="C26" i="95" s="1"/>
  <c r="G33" i="97"/>
  <c r="E26" i="98"/>
  <c r="B25" i="98"/>
  <c r="B24" i="98"/>
  <c r="H33" i="97"/>
  <c r="C33" i="97" s="1"/>
  <c r="H32" i="97"/>
  <c r="C32" i="97" s="1"/>
  <c r="B27" i="97"/>
  <c r="B26" i="97"/>
  <c r="B25" i="97"/>
  <c r="B24" i="97"/>
  <c r="H26" i="96"/>
  <c r="C26" i="96" s="1"/>
  <c r="H24" i="96"/>
  <c r="C24" i="96" s="1"/>
  <c r="D30" i="95"/>
  <c r="N30" i="95" s="1"/>
  <c r="D29" i="95"/>
  <c r="D28" i="95"/>
  <c r="D27" i="95"/>
  <c r="N27" i="95" s="1"/>
  <c r="D26" i="95"/>
  <c r="N26" i="95" s="1"/>
  <c r="D25" i="95"/>
  <c r="N25" i="95" s="1"/>
  <c r="B30" i="95"/>
  <c r="B29" i="95"/>
  <c r="B28" i="95"/>
  <c r="B27" i="95"/>
  <c r="B26" i="95"/>
  <c r="B25" i="95"/>
  <c r="H24" i="95"/>
  <c r="C24" i="95" s="1"/>
  <c r="G24" i="96"/>
  <c r="D26" i="98"/>
  <c r="N26" i="98" s="1"/>
  <c r="H24" i="98"/>
  <c r="C24" i="98" s="1"/>
  <c r="B40" i="97"/>
  <c r="H27" i="97"/>
  <c r="C27" i="97" s="1"/>
  <c r="H26" i="97"/>
  <c r="C26" i="97" s="1"/>
  <c r="H25" i="97"/>
  <c r="C25" i="97" s="1"/>
  <c r="H24" i="97"/>
  <c r="C24" i="97" s="1"/>
  <c r="H25" i="95"/>
  <c r="C25" i="95" s="1"/>
  <c r="D27" i="98"/>
  <c r="G32" i="97"/>
  <c r="G25" i="96"/>
  <c r="B36" i="95"/>
  <c r="E27" i="98"/>
  <c r="B26" i="98"/>
  <c r="H34" i="97"/>
  <c r="C34" i="97" s="1"/>
  <c r="H27" i="96"/>
  <c r="C27" i="96" s="1"/>
  <c r="H25" i="98"/>
  <c r="C25" i="98" s="1"/>
  <c r="G26" i="96"/>
  <c r="B27" i="98"/>
  <c r="G24" i="98"/>
  <c r="F33" i="97"/>
  <c r="F32" i="97"/>
  <c r="G27" i="97"/>
  <c r="G26" i="97"/>
  <c r="G25" i="97"/>
  <c r="G24" i="97"/>
  <c r="F26" i="96"/>
  <c r="F25" i="96"/>
  <c r="F24" i="96"/>
  <c r="H30" i="95"/>
  <c r="C30" i="95" s="1"/>
  <c r="E25" i="98"/>
  <c r="D34" i="97"/>
  <c r="N34" i="97" s="1"/>
  <c r="D33" i="97"/>
  <c r="E27" i="97"/>
  <c r="E25" i="97"/>
  <c r="C31" i="98"/>
  <c r="N28" i="95" l="1"/>
  <c r="B6" i="95" s="1"/>
  <c r="N25" i="98"/>
  <c r="B7" i="98" s="1"/>
  <c r="N29" i="95"/>
  <c r="N26" i="97"/>
  <c r="B6" i="97" s="1"/>
  <c r="N25" i="96"/>
  <c r="C38" i="97"/>
  <c r="C34" i="95"/>
  <c r="N24" i="96"/>
  <c r="N27" i="97"/>
  <c r="B7" i="95"/>
  <c r="N26" i="96"/>
  <c r="N27" i="96"/>
  <c r="N33" i="97"/>
  <c r="N27" i="98"/>
  <c r="B4" i="98" l="1"/>
  <c r="B8" i="98" s="1"/>
  <c r="B6" i="96"/>
  <c r="B7" i="96"/>
  <c r="B4" i="96"/>
  <c r="B8" i="96" s="1"/>
  <c r="B6" i="98"/>
  <c r="B4" i="97"/>
  <c r="B8" i="97" s="1"/>
  <c r="B4" i="95"/>
  <c r="B8" i="95" s="1"/>
  <c r="B7" i="97"/>
  <c r="C33" i="96" l="1"/>
  <c r="C39" i="96"/>
  <c r="C36" i="96"/>
  <c r="C38" i="96"/>
  <c r="C35" i="96"/>
  <c r="C32" i="96"/>
  <c r="C41" i="96"/>
  <c r="C34" i="96"/>
  <c r="C40" i="96"/>
  <c r="C42" i="96"/>
  <c r="C37" i="96"/>
  <c r="C51" i="95"/>
  <c r="C44" i="95"/>
  <c r="C43" i="95"/>
  <c r="C48" i="95"/>
  <c r="C41" i="95"/>
  <c r="C42" i="95"/>
  <c r="C52" i="95"/>
  <c r="C54" i="95"/>
  <c r="C40" i="95"/>
  <c r="C47" i="95"/>
  <c r="C57" i="95"/>
  <c r="C53" i="95"/>
  <c r="C45" i="95"/>
  <c r="C55" i="95"/>
  <c r="C49" i="95"/>
  <c r="C50" i="95"/>
  <c r="C46" i="95"/>
  <c r="C56" i="95"/>
  <c r="C70" i="97"/>
  <c r="C68" i="97"/>
  <c r="C62" i="97"/>
  <c r="C61" i="97"/>
  <c r="C55" i="97"/>
  <c r="C51" i="97"/>
  <c r="C52" i="97"/>
  <c r="C64" i="97"/>
  <c r="C67" i="97"/>
  <c r="C65" i="97"/>
  <c r="C63" i="97"/>
  <c r="C60" i="97"/>
  <c r="C56" i="97"/>
  <c r="C58" i="97"/>
  <c r="C54" i="97"/>
  <c r="C57" i="97"/>
  <c r="C59" i="97"/>
  <c r="C66" i="97"/>
  <c r="C53" i="97"/>
  <c r="C69" i="97"/>
  <c r="C43" i="98"/>
  <c r="C37" i="98"/>
  <c r="C40" i="98"/>
  <c r="C39" i="98"/>
  <c r="C42" i="98"/>
  <c r="C41" i="98"/>
  <c r="C38" i="98"/>
</calcChain>
</file>

<file path=xl/comments1.xml><?xml version="1.0" encoding="utf-8"?>
<comments xmlns="http://schemas.openxmlformats.org/spreadsheetml/2006/main">
  <authors>
    <author>Paul Ootjers</author>
  </authors>
  <commentList>
    <comment ref="B19" authorId="0" shape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<sst xmlns="http://schemas.openxmlformats.org/spreadsheetml/2006/main" count="508" uniqueCount="258">
  <si>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</si>
  <si>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</si>
  <si>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</si>
  <si>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</si>
  <si>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</si>
  <si>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</si>
  <si>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</si>
  <si>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</si>
  <si>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</si>
  <si>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</si>
  <si>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</si>
  <si>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</si>
  <si>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</si>
  <si>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</si>
  <si>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</si>
  <si>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</si>
  <si>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</si>
  <si>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</si>
  <si>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</si>
  <si>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</si>
  <si>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</si>
  <si>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</si>
  <si>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</si>
  <si>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</si>
  <si>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</si>
  <si>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</si>
  <si>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</si>
  <si>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</si>
  <si>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</si>
  <si>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</si>
  <si>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</si>
  <si>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</si>
  <si>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</si>
  <si>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</si>
  <si>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</si>
  <si>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</si>
  <si>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</si>
  <si>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</si>
  <si>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</si>
  <si>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</si>
  <si>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</si>
  <si>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</si>
  <si>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[KW_KDcohort-EPx_B/Px-Kx_1X1]</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</si>
  <si>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</si>
  <si>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</si>
  <si>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</si>
  <si>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</si>
  <si>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</si>
  <si>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</si>
  <si>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</si>
  <si>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</si>
  <si>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</si>
  <si>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</si>
  <si>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</si>
  <si>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</si>
  <si>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</si>
  <si>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</si>
  <si>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</si>
  <si>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</si>
  <si>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</si>
  <si>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</si>
  <si>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[Examenvorm]</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</si>
  <si>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</si>
  <si>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</si>
  <si>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</si>
  <si>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</si>
  <si>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</si>
  <si>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</si>
  <si>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</si>
  <si>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B1-K1</t>
  </si>
  <si>
    <t>Levert een bijdrage aan het ontwikkeltraject</t>
  </si>
  <si>
    <t>Applicatie- en mediaontwikkelaar, 4</t>
  </si>
  <si>
    <t>B1-K1-W1</t>
  </si>
  <si>
    <t>B1-K1-W2</t>
  </si>
  <si>
    <t>B1-K1-W3</t>
  </si>
  <si>
    <t>B1-K1-W4</t>
  </si>
  <si>
    <t>Stelt de opdracht vast</t>
  </si>
  <si>
    <t>Levert een bijdrage aan het projectplan</t>
  </si>
  <si>
    <t>Levert een bijdrage aan het ontwerp</t>
  </si>
  <si>
    <t xml:space="preserve">Bereidt de realisatie voor </t>
  </si>
  <si>
    <t>T1, T2</t>
  </si>
  <si>
    <t>T3, T4, T5, T6</t>
  </si>
  <si>
    <t>T7</t>
  </si>
  <si>
    <t>Voorbereiding</t>
  </si>
  <si>
    <t>Heeft zich ingelezen en heeft zich voorbereid op gesprek.</t>
  </si>
  <si>
    <t xml:space="preserve">Heeft zich niet ingelezen en/of voorbereid op het gesprek.
</t>
  </si>
  <si>
    <t>Gespreksvorm</t>
  </si>
  <si>
    <t>Leidt het gesprek in.
Stelt vragen en vraagt indien nodig door.
Gaat in op wat de opdrachtgever zegt en de reactie is bijna altijd adequaat.
Vat aan het eind samen, en vertelt de vervolgprocedure niet.</t>
  </si>
  <si>
    <t>Leidt het gesprek in.
Stelt vragen en vraagt indien nodig door.
Gaat in op wat de opdrachtgever zegt en de reactie is altijd adequaat.
Vat aan het eind het gesprek samen, en vertelt de vervolgprocedure.</t>
  </si>
  <si>
    <t xml:space="preserve">Leidt het gesprek niet in.
Stelt wel vragen, maar vraagt niet door.
Gaat weinig in op wat de opdrachtgever zegt.
Vat aan het eind niet samen, en vertelt de vervolgprocedure niet.
</t>
  </si>
  <si>
    <t>Gespreksinhoud</t>
  </si>
  <si>
    <t>De vragen zijn in de meeste gevallen niet gerelateerd aan en/of niet relevant voor de opdracht.
Gebruikt veel vaktaal zonder dit uit te leggen.</t>
  </si>
  <si>
    <t>De vragen zijn in de meeste gevallen gerelateerd aan of relevant voor de opdracht.
Gebruikt soms vaktaal en/of legt deze in de meeste gevallen niet begrijpelijk uit.</t>
  </si>
  <si>
    <t>De vragen zijn altijd gerelateerd aan en relevant voor de opdracht.
Gebruikt weinig tot geen vaktaal en legt deze begrijpelijk uit.</t>
  </si>
  <si>
    <t xml:space="preserve">De vragen zijn in de meeste gevallen gerelateerd aan en relevant voor de opdracht.
Gebruikt weinig tot geen vaktaal en/of legt deze in de meeste gevallen begrijpelijk uit.
</t>
  </si>
  <si>
    <t>Inhoud Programma van Eisen</t>
  </si>
  <si>
    <t>De eisen in het PvE sluiten deels niet aan op de opdracht en/of een groot aantal eisen zijn niet beschreven.
Gebruikt veel vaktaal zonder dit uit te leggen.</t>
  </si>
  <si>
    <t>Alle eisen in het PvE sluiten aan op de opdracht en zijn beschreven.
Gebruikt weinig tot geen vaktaal en legt deze begrijpelijk uit.</t>
  </si>
  <si>
    <t xml:space="preserve">De eisen in het PvE sluiten aan op de opdracht en een klein aantal eisen zijn niet beschreven.
Gebruikt weinig tot geen vaktaal en/of legt deze in de meeste gevallen begrijpelijk uit.
</t>
  </si>
  <si>
    <t>Het PvE voldoet in de meeste gevallen aan de gevraagde onderdelen.
De onderdelen in het PvE zijn in de meeste gevallen begrijpelijk beschreven.</t>
  </si>
  <si>
    <t>Het PvE voldoet aan de gevraagde onderdelen.
De onderdelen in het PvE zijn in de meeste gevallen begrijpelijk beschreven.</t>
  </si>
  <si>
    <t>Het PvE voldoet aan de gevraagde onderdelen.
De onderdelen in het PvE zijn allemaal begrijpelijk beschreven.</t>
  </si>
  <si>
    <t>Vorm Programma van Eisen</t>
  </si>
  <si>
    <t xml:space="preserve">Het PvE voldoet op de meeste punten niet aan de gevraagde onderdelen.
De onderdelen in het PvE zijn in een groot aantal gevallen niet begrijpelijk beschreven.
</t>
  </si>
  <si>
    <t>Onderbouwing Programma van Eisen</t>
  </si>
  <si>
    <t>Er is niet adequaat gebruikgemaakt van aanvullende bronnen en/of onderzoek.
(On)mogelijkheden en/of impact van het gevraagde zijn in het PvE niet beschreven.</t>
  </si>
  <si>
    <t>Er is weinig adequaat gebruikgemaakt van aanvullende bronnen en/of onderzoek.
(On)mogelijkheden en/of impact van het gevraagde zijn niet volledig in het PvE beschreven.</t>
  </si>
  <si>
    <t>Er is adequaat gebruikgemaakt van aanvullende bronnen en/of onderzoek.
(On)mogelijkheden en impact van het gevraagde zijn in het PvE in kaart gebracht en grotendeels volledig beschreven.</t>
  </si>
  <si>
    <t>Er is adequaat gebruikgemaakt van aanvullende bronnen en/of onderzoek.
(On)mogelijkheden en impact van het gevraagde zijn in het PvE volledig beschreven.</t>
  </si>
  <si>
    <t>Communiceren Programma van Eisen</t>
  </si>
  <si>
    <t xml:space="preserve">Het PvE wordt niet overgedragen of niet toegelicht.
Er wordt niet om goedkeuring gevraagd.
</t>
  </si>
  <si>
    <t>Het PvE wordt overgedragen en toegelicht.
Er wordt om goedkeuring gevraagd.</t>
  </si>
  <si>
    <t>T1, T2, T3, T4</t>
  </si>
  <si>
    <t>T5</t>
  </si>
  <si>
    <t>Project-doelstellingen</t>
  </si>
  <si>
    <t>De project-doelstellingen zijn niet in lijn met de opdracht, duidelijk en/of haalbaar.</t>
  </si>
  <si>
    <t>Projectactiviteiten</t>
  </si>
  <si>
    <t>De werkzaamheden zijn onvolledig, incorrect of onoverzichtelijk weergegeven.
En/of de inzet en middelen voor de werkzaamheden zijn niet of onduidelijk benoemd.
En/of de ontwikkelmethode is niet benoemd.</t>
  </si>
  <si>
    <t>De werkzaamheden zijn in de meeste gevallen volledig, correct en overzichtelijk weergegeven.
De inzet en middelen voor de werkzaamheden zijn in de meeste gevallen duidelijk benoemd.
De ontwikkelmethode is benoemd.</t>
  </si>
  <si>
    <t>De werkzaamheden zijn volledig, correct en overzichtelijk weergegeven.
De inzet en middelen voor de werkzaamheden zijn duidelijk benoemd.
De ontwikkelmethode is benoemd.</t>
  </si>
  <si>
    <t xml:space="preserve">De werkzaamheden zijn volledig en in de meeste gevallen correct en overzichtelijk weergegeven.
De inzet en middelen voor de werkzaamheden zijn in de meeste gevallen duidelijk benoemd.
De ontwikkelmethode is benoemd.
</t>
  </si>
  <si>
    <t>Planning</t>
  </si>
  <si>
    <t>Afstemmen</t>
  </si>
  <si>
    <t>De bijdrage aan het projectplan wordt afgestemd.
Er wordt om goedkeuring gevraagd.</t>
  </si>
  <si>
    <t xml:space="preserve">De bijdrage aan het projectplan wordt niet afgestemd.
Er wordt niet om goedkeuring gevraagd.
</t>
  </si>
  <si>
    <t>T3</t>
  </si>
  <si>
    <t>T4</t>
  </si>
  <si>
    <t>T6, T8</t>
  </si>
  <si>
    <t>T9</t>
  </si>
  <si>
    <t>Functionaliteiten</t>
  </si>
  <si>
    <t>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t>
  </si>
  <si>
    <t>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t>
  </si>
  <si>
    <t>Alle informatie, eisen en wensen uit het PvE zijn opgenomen als functionaliteit.
De informatie, eisen en wensen uit het PvE zijn begrijpelijk, eenduidig en als functionaliteit beschreven.
De functionaliteiten zijn in overeenstemming met het PvE, zowel qua inhoud als prioritering.</t>
  </si>
  <si>
    <t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t>
  </si>
  <si>
    <t>Toepassen schema-technieken</t>
  </si>
  <si>
    <t>Er is geen schematechniek gebruikt.
Of
De verkeerde schematechnieken zijn gebruikt.</t>
  </si>
  <si>
    <t>De juiste schematechnieken zijn gekozen.
De schematechnieken verduidelijken de functionaliteit en zijn in de meeste gevallen juist uitgevoerd.</t>
  </si>
  <si>
    <t>De juiste schematechnieken zijn gekozen.
De schematechnieken verduidelijken de functionaliteit en zijn juist uitgevoerd.</t>
  </si>
  <si>
    <t xml:space="preserve">De schematechnieken zijn in de meeste gevallen juist gekozen.
De schematechnieken verduidelijken de functionaliteit, maar zijn in de meeste gevallen niet juist uitgevoerd. 
</t>
  </si>
  <si>
    <t>User interface</t>
  </si>
  <si>
    <t>Het is niet helder hoe het systeem eruit gaat zien qua lay-out.
Of
Het is niet helder welke gegevens nodig zijn.
Of
Het is niet duidelijk welke schermen er komen en de relatie tussen deze schermen is niet helder.</t>
  </si>
  <si>
    <t>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t>
  </si>
  <si>
    <t>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t>
  </si>
  <si>
    <t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t>
  </si>
  <si>
    <t>Communiceren FO</t>
  </si>
  <si>
    <t>Het FO wordt overgedragen en toegelicht.
Er wordt om goedkeuring gevraagd.
Gebruikt soms vaktaal en/of legt deze in de meeste gevallen niet begrijpelijk uit.</t>
  </si>
  <si>
    <t>Het FO wordt overgedragen en toegelicht.
Er wordt om goedkeuring gevraagd.
Gebruikt weinig tot geen vaktaal en/of legt deze in de meeste gevallen begrijpelijk uit.</t>
  </si>
  <si>
    <t>Het FO wordt overgedragen en toegelicht.
Er wordt om goedkeuring gevraagd.
Gebruikt weinig tot geen vaktaal en legt deze begrijpelijk uit.</t>
  </si>
  <si>
    <t xml:space="preserve">Het FO wordt niet overgedragen of niet toegelicht.
Of
Er wordt niet om goedkeuring gevraagd.
Of
Gebruikt veel vaktaal zonder dit uit te leggen.
</t>
  </si>
  <si>
    <t>Technische specificaties</t>
  </si>
  <si>
    <t>De technische specificaties zijn niet gebaseerd op het FO.
En/of
De uitgewerkte technische specificaties zijn niet haalbaar en realistisch voor het te bereiken resultaat.
En/Of
De toegepaste schematechnieken verduidelijken de technische specificaties niet.</t>
  </si>
  <si>
    <t>De technische specificaties zijn gebaseerd op het FO.
De uitgewerkte technische specificaties zijn haalbaar, realistisch, maar niet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</si>
  <si>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</si>
  <si>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de technische specificaties.</t>
  </si>
  <si>
    <t>Relationeel datamodel</t>
  </si>
  <si>
    <t xml:space="preserve">Het TO wordt niet overgedragen of niet toegelicht.
Er wordt niet om goedkeuring gevraagd.
</t>
  </si>
  <si>
    <t>Het TO wordt overgedragen en toegelicht.
Er wordt om goedkeuring gevraagd.</t>
  </si>
  <si>
    <t>CommunicerenTO</t>
  </si>
  <si>
    <t>T1</t>
  </si>
  <si>
    <t>T2</t>
  </si>
  <si>
    <t>Benodigde onderdelen</t>
  </si>
  <si>
    <t>Weinig van de benodigde software voor de ontwikkelomgeving is beschreven.
Weinig van de benodigde hardware voor de ontwikkelomgeving is beschreven.</t>
  </si>
  <si>
    <t>De benodigde software voor de ontwikkelomgeving is op kleinigheden na volledig beschreven.
De benodigde hardware voor de ontwikkelomgeving is op kleinigheden na volledig beschreven.</t>
  </si>
  <si>
    <t>De benodigde software voor de ontwikkelomgeving is volledig beschreven.
De benodigde hardware voor de ontwikkelomgeving is volledig beschreven.</t>
  </si>
  <si>
    <t xml:space="preserve">De benodigde software voor de ontwikkelomgeving is op enkele onderdelen na volledig beschreven.
De benodigde hardware voor de ontwikkelomgeving is op enkele onderdelen na volledig beschreven.
</t>
  </si>
  <si>
    <t>Installeren en configureren</t>
  </si>
  <si>
    <t>De ontwikkelomgeving is juist geïnstalleerd en geconfigureerd.</t>
  </si>
  <si>
    <t xml:space="preserve">De ontwikkelomgeving is niet juist geïnstalleerd en geconfigureerd.
</t>
  </si>
  <si>
    <t>Testen</t>
  </si>
  <si>
    <t>De ontwikkelomgeving is getest.</t>
  </si>
  <si>
    <t xml:space="preserve">De ontwikkelomgeving is niet getest.
</t>
  </si>
  <si>
    <t>Documenteren</t>
  </si>
  <si>
    <t xml:space="preserve">De documentatie is niet volledig en/of correct en/of duidelijk.
</t>
  </si>
  <si>
    <t>Beoordeling opdracht 1</t>
  </si>
  <si>
    <t>Opdracht:</t>
  </si>
  <si>
    <t>OpdrachtId:</t>
  </si>
  <si>
    <t>B1-K1-W1-1</t>
  </si>
  <si>
    <t>Aantal criteria:</t>
  </si>
  <si>
    <t>Taak</t>
  </si>
  <si>
    <t>Cb0</t>
  </si>
  <si>
    <t>Cb1</t>
  </si>
  <si>
    <t>Cb2</t>
  </si>
  <si>
    <t>Cb3</t>
  </si>
  <si>
    <t>CheckboxenIngevuld</t>
  </si>
  <si>
    <t>B1-K1-W1-1-1</t>
  </si>
  <si>
    <t>B1-K1-W1-1-2</t>
  </si>
  <si>
    <t>B1-K1-W1-1-3</t>
  </si>
  <si>
    <t>B1-K1-W1-1-4</t>
  </si>
  <si>
    <t>B1-K1-W1-1-5</t>
  </si>
  <si>
    <t>B1-K1-W1-1-6</t>
  </si>
  <si>
    <t>B1-K1-W1-1-7</t>
  </si>
  <si>
    <t>* Cruciaal criterium</t>
  </si>
  <si>
    <t>Beslissing B1-K1-W1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</si>
  <si>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</si>
  <si>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</si>
  <si>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</si>
  <si>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</si>
  <si>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</si>
  <si>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</si>
  <si>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</si>
  <si>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</si>
  <si>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</si>
  <si>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</si>
  <si>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</si>
  <si>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</si>
  <si>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</si>
  <si>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</si>
  <si>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</si>
  <si>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</si>
  <si>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</si>
  <si>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</si>
  <si>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B1-K1-W2-2</t>
  </si>
  <si>
    <t>B1-K1-W2-2-1</t>
  </si>
  <si>
    <t>B1-K1-W2-2-2</t>
  </si>
  <si>
    <t>B1-K1-W2-2-3</t>
  </si>
  <si>
    <t>B1-K1-W2-2-4</t>
  </si>
  <si>
    <t>Beslissing B1-K1-W2</t>
  </si>
  <si>
    <t>Beoordeling opdracht 3</t>
  </si>
  <si>
    <t>B1-K1-W3-3</t>
  </si>
  <si>
    <t>B1-K1-W3-3-1</t>
  </si>
  <si>
    <t>B1-K1-W3-3-2</t>
  </si>
  <si>
    <t>B1-K1-W3-3-3</t>
  </si>
  <si>
    <t>B1-K1-W3-3-4</t>
  </si>
  <si>
    <t>Beoordeling opdracht 4</t>
  </si>
  <si>
    <t>B1-K1-W3-4</t>
  </si>
  <si>
    <t>B1-K1-W3-4-1</t>
  </si>
  <si>
    <t>B1-K1-W3-4-2</t>
  </si>
  <si>
    <t>B1-K1-W3-4-3</t>
  </si>
  <si>
    <t>Beslissing B1-K1-W3</t>
  </si>
  <si>
    <t>Zijn alle cruciale criteria behaald?</t>
  </si>
  <si>
    <t>Reik cijfer uit volgens cijfertabel</t>
  </si>
  <si>
    <t>Onvoldoende</t>
  </si>
  <si>
    <t>Beoordeling opdracht 5</t>
  </si>
  <si>
    <t>B1-K1-W4-5</t>
  </si>
  <si>
    <t>B1-K1-W4-5-1</t>
  </si>
  <si>
    <t>B1-K1-W4-5-2</t>
  </si>
  <si>
    <t>B1-K1-W4-5-3</t>
  </si>
  <si>
    <t>B1-K1-W4-5-4</t>
  </si>
  <si>
    <t>Beslissing B1-K1-W4</t>
  </si>
  <si>
    <t xml:space="preserve">Leidt het gesprek in.
Stelt vragen en vraagt, indien nodig, in de meeste gevallen door.
Gaat in de meeste gevallen in op wat de opdrachtgever zegt en de reactie is niet altijd adequaat.
Vat aan het eind niet samen, en vertelt de vervolgprocedure niet.
</t>
  </si>
  <si>
    <t xml:space="preserve">De eisen in het PvE sluiten in de meeste gevallen aan op de opdracht, maar een klein aantal eisen zijn niet beschreven.
Gebruikt soms vaktaal en/of legt deze in de meeste gevallen niet begrijpelijk uit.
</t>
  </si>
  <si>
    <t>De project-doelstellingen zijn in de meeste gevallen in lijn met de opdracht en óf duidelijk óf haalbaar.</t>
  </si>
  <si>
    <t>De project-doelstellingen zijn in de meeste gevallen in lijn met de opdracht, duidelijk en haalbaar.</t>
  </si>
  <si>
    <t>De project-doelstellingen zijn in lijn met de opdracht, duidelijk en haalbaar.</t>
  </si>
  <si>
    <t>De planning, inclusief voortgangsgesprek-ken, is niet volledig, realistisch, chronologisch en/of overzichtelijk.</t>
  </si>
  <si>
    <t>De planning, inclusief voortgangsgesprek-ken, is volledig en realistisch, maar niet chronologisch en/of overzichtelijk.</t>
  </si>
  <si>
    <t>De planning, inclusief voortgangsgesprek-ken, is volledig, realistisch en chronologisch of overzichtelijk.</t>
  </si>
  <si>
    <t>De planning, inclusief voortgangsgesprek-ken, is volledig, realistisch, chronologisch en overzichtelijk.</t>
  </si>
  <si>
    <t>Applicatieontwikkeling</t>
  </si>
  <si>
    <t>Niet alle entiteiten en weinig eigenschappen/ attributen zijn beschreven in het datamodel en daarvan is weinig gebaseerd op het FO.
Of
Weinig informatie uit het FO is verwerkt in het datamodel.
Of
De relaties zijn niet op de juiste wijze beschreven.</t>
  </si>
  <si>
    <t>Alle entiteiten en sommige eigenschappen/ attributen zijn beschreven in het datamodel en daarvan is bijna alles gebaseerd op het FO.
Bijna alle informatie uit het FO is verwerkt in het datamodel.
Alle relaties zijn op de juiste wijze beschreven.</t>
  </si>
  <si>
    <t>Alle entiteiten en bijna alle eigenschappen/ attributen zijn beschreven in het datamodel en zijn gebaseerd op het FO.
Bijna alle informatie uit het FO is verwerkt in het datamodel.
Alle relaties zijn op de juiste wijze beschreven.</t>
  </si>
  <si>
    <t>Alle entiteiten en eigenschappen/ attributen zijn beschreven in het datamodel en gebaseerd op het FO.
Alle informatie uit het FO is verwerkt in het datamodel.
Alle relaties zijn op de juiste wijze beschreven.</t>
  </si>
  <si>
    <t>De documentatie is volledig, correct en duidelijk.</t>
  </si>
  <si>
    <t>BF_AMO_AO16-B1-K1_3</t>
  </si>
  <si>
    <t>Examenproject - Praktijkexamen in een gesimuleerde omgeving</t>
  </si>
  <si>
    <t>AMO_AO16_B1-K1_1A3</t>
  </si>
  <si>
    <t>Ontwikkeltraject Product - 1A3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</si>
</sst>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8">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right style="thin">
        <color indexed="64"/>
      </right>
      <top/>
      <bottom/>
      <diagonal/>
    </border>
  </borders>
  <cellStyleXfs count="2">
    <xf numFmtId="0" fontId="0" fillId="0" borderId="0"/>
    <xf numFmtId="0" fontId="7" fillId="11" borderId="0" applyNumberFormat="0" applyBorder="0" applyAlignment="0" applyProtection="0"/>
  </cellStyleXfs>
  <cellXfs count="99">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14" fontId="6" fillId="10"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9"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Font="1" applyBorder="1" applyAlignment="1">
      <alignment horizontal="left" vertical="top" wrapText="1" indent="3"/>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0" xfId="0" applyFill="1" applyBorder="1" applyAlignment="1">
      <alignment horizontal="left" vertical="center" indent="3"/>
    </xf>
    <xf numFmtId="0" fontId="0" fillId="12" borderId="16" xfId="0" applyFill="1" applyBorder="1" applyAlignment="1">
      <alignment horizontal="left" vertical="center" indent="3"/>
    </xf>
    <xf numFmtId="0" fontId="0" fillId="0" borderId="0" xfId="0" applyAlignment="1">
      <alignment horizontal="left" indent="2"/>
    </xf>
    <xf numFmtId="0" fontId="0" fillId="0" borderId="17" xfId="0" applyBorder="1" applyAlignment="1">
      <alignment horizontal="left" indent="2"/>
    </xf>
    <xf numFmtId="0" fontId="6" fillId="10" borderId="0" xfId="0" applyFont="1" applyFill="1" applyAlignment="1">
      <alignment horizontal="left" vertical="top" wrapText="1"/>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0" fillId="9" borderId="10" xfId="0" applyFill="1" applyBorder="1" applyAlignment="1">
      <alignment vertical="top"/>
    </xf>
    <xf numFmtId="0" fontId="0" fillId="0" borderId="10" xfId="0" applyBorder="1"/>
    <xf numFmtId="0" fontId="0" fillId="0" borderId="16" xfId="0" applyBorder="1"/>
    <xf numFmtId="0" fontId="0" fillId="12" borderId="10"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31">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I$25" lockText="1" noThreeD="1"/>
</file>

<file path=xl/ctrlProps/ctrlProp7.xml><?xml version="1.0" encoding="utf-8"?>
<formControlPr xmlns="http://schemas.microsoft.com/office/spreadsheetml/2009/9/main" objectType="CheckBox" fmlaLink="'B1-K1-W1'!$J$25" lockText="1" noThreeD="1"/>
</file>

<file path=xl/ctrlProps/ctrlProp8.xml><?xml version="1.0" encoding="utf-8"?>
<formControlPr xmlns="http://schemas.microsoft.com/office/spreadsheetml/2009/9/main" objectType="CheckBox" fmlaLink="'B1-K1-W1'!$K$25" lockText="1" noThreeD="1"/>
</file>

<file path=xl/ctrlProps/ctrlProp9.xml><?xml version="1.0" encoding="utf-8"?>
<formControlPr xmlns="http://schemas.microsoft.com/office/spreadsheetml/2009/9/main" objectType="CheckBox" fmlaLink="'B1-K1-W1'!$L$25" lockText="1" noThreeD="1"/>
</file>

<file path=xl/ctrlProps/ctrlProp10.xml><?xml version="1.0" encoding="utf-8"?>
<formControlPr xmlns="http://schemas.microsoft.com/office/spreadsheetml/2009/9/main" objectType="CheckBox" fmlaLink="'B1-K1-W1'!$I$26" lockText="1" noThreeD="1"/>
</file>

<file path=xl/ctrlProps/ctrlProp11.xml><?xml version="1.0" encoding="utf-8"?>
<formControlPr xmlns="http://schemas.microsoft.com/office/spreadsheetml/2009/9/main" objectType="CheckBox" fmlaLink="'B1-K1-W1'!$J$26" lockText="1" noThreeD="1"/>
</file>

<file path=xl/ctrlProps/ctrlProp12.xml><?xml version="1.0" encoding="utf-8"?>
<formControlPr xmlns="http://schemas.microsoft.com/office/spreadsheetml/2009/9/main" objectType="CheckBox" fmlaLink="'B1-K1-W1'!$K$26" lockText="1" noThreeD="1"/>
</file>

<file path=xl/ctrlProps/ctrlProp13.xml><?xml version="1.0" encoding="utf-8"?>
<formControlPr xmlns="http://schemas.microsoft.com/office/spreadsheetml/2009/9/main" objectType="CheckBox" fmlaLink="'B1-K1-W1'!$L$26" lockText="1" noThreeD="1"/>
</file>

<file path=xl/ctrlProps/ctrlProp14.xml><?xml version="1.0" encoding="utf-8"?>
<formControlPr xmlns="http://schemas.microsoft.com/office/spreadsheetml/2009/9/main" objectType="CheckBox" fmlaLink="'B1-K1-W1'!$I$27" lockText="1" noThreeD="1"/>
</file>

<file path=xl/ctrlProps/ctrlProp15.xml><?xml version="1.0" encoding="utf-8"?>
<formControlPr xmlns="http://schemas.microsoft.com/office/spreadsheetml/2009/9/main" objectType="CheckBox" fmlaLink="'B1-K1-W1'!$J$27" lockText="1" noThreeD="1"/>
</file>

<file path=xl/ctrlProps/ctrlProp16.xml><?xml version="1.0" encoding="utf-8"?>
<formControlPr xmlns="http://schemas.microsoft.com/office/spreadsheetml/2009/9/main" objectType="CheckBox" fmlaLink="'B1-K1-W1'!$K$27" lockText="1" noThreeD="1"/>
</file>

<file path=xl/ctrlProps/ctrlProp17.xml><?xml version="1.0" encoding="utf-8"?>
<formControlPr xmlns="http://schemas.microsoft.com/office/spreadsheetml/2009/9/main" objectType="CheckBox" fmlaLink="'B1-K1-W1'!$L$27" lockText="1" noThreeD="1"/>
</file>

<file path=xl/ctrlProps/ctrlProp18.xml><?xml version="1.0" encoding="utf-8"?>
<formControlPr xmlns="http://schemas.microsoft.com/office/spreadsheetml/2009/9/main" objectType="CheckBox" fmlaLink="'B1-K1-W1'!$I$28" lockText="1" noThreeD="1"/>
</file>

<file path=xl/ctrlProps/ctrlProp19.xml><?xml version="1.0" encoding="utf-8"?>
<formControlPr xmlns="http://schemas.microsoft.com/office/spreadsheetml/2009/9/main" objectType="CheckBox" fmlaLink="'B1-K1-W1'!$J$28" lockText="1" noThreeD="1"/>
</file>

<file path=xl/ctrlProps/ctrlProp20.xml><?xml version="1.0" encoding="utf-8"?>
<formControlPr xmlns="http://schemas.microsoft.com/office/spreadsheetml/2009/9/main" objectType="CheckBox" fmlaLink="'B1-K1-W1'!$K$28" lockText="1" noThreeD="1"/>
</file>

<file path=xl/ctrlProps/ctrlProp21.xml><?xml version="1.0" encoding="utf-8"?>
<formControlPr xmlns="http://schemas.microsoft.com/office/spreadsheetml/2009/9/main" objectType="CheckBox" fmlaLink="'B1-K1-W1'!$L$28" lockText="1" noThreeD="1"/>
</file>

<file path=xl/ctrlProps/ctrlProp22.xml><?xml version="1.0" encoding="utf-8"?>
<formControlPr xmlns="http://schemas.microsoft.com/office/spreadsheetml/2009/9/main" objectType="CheckBox" fmlaLink="'B1-K1-W1'!$I$29" lockText="1" noThreeD="1"/>
</file>

<file path=xl/ctrlProps/ctrlProp23.xml><?xml version="1.0" encoding="utf-8"?>
<formControlPr xmlns="http://schemas.microsoft.com/office/spreadsheetml/2009/9/main" objectType="CheckBox" fmlaLink="'B1-K1-W1'!$J$29" lockText="1" noThreeD="1"/>
</file>

<file path=xl/ctrlProps/ctrlProp24.xml><?xml version="1.0" encoding="utf-8"?>
<formControlPr xmlns="http://schemas.microsoft.com/office/spreadsheetml/2009/9/main" objectType="CheckBox" fmlaLink="'B1-K1-W1'!$K$29" lockText="1" noThreeD="1"/>
</file>

<file path=xl/ctrlProps/ctrlProp25.xml><?xml version="1.0" encoding="utf-8"?>
<formControlPr xmlns="http://schemas.microsoft.com/office/spreadsheetml/2009/9/main" objectType="CheckBox" fmlaLink="'B1-K1-W1'!$L$29" lockText="1" noThreeD="1"/>
</file>

<file path=xl/ctrlProps/ctrlProp26.xml><?xml version="1.0" encoding="utf-8"?>
<formControlPr xmlns="http://schemas.microsoft.com/office/spreadsheetml/2009/9/main" objectType="CheckBox" fmlaLink="'B1-K1-W1'!$I$30" lockText="1" noThreeD="1"/>
</file>

<file path=xl/ctrlProps/ctrlProp27.xml><?xml version="1.0" encoding="utf-8"?>
<formControlPr xmlns="http://schemas.microsoft.com/office/spreadsheetml/2009/9/main" objectType="CheckBox" fmlaLink="'B1-K1-W1'!$J$30" lockText="1" noThreeD="1"/>
</file>

<file path=xl/ctrlProps/ctrlProp28.xml><?xml version="1.0" encoding="utf-8"?>
<formControlPr xmlns="http://schemas.microsoft.com/office/spreadsheetml/2009/9/main" objectType="CheckBox" fmlaLink="'B1-K1-W2'!$I$24" lockText="1" noThreeD="1"/>
</file>

<file path=xl/ctrlProps/ctrlProp29.xml><?xml version="1.0" encoding="utf-8"?>
<formControlPr xmlns="http://schemas.microsoft.com/office/spreadsheetml/2009/9/main" objectType="CheckBox" fmlaLink="'B1-K1-W2'!$J$24" lockText="1" noThreeD="1"/>
</file>

<file path=xl/ctrlProps/ctrlProp30.xml><?xml version="1.0" encoding="utf-8"?>
<formControlPr xmlns="http://schemas.microsoft.com/office/spreadsheetml/2009/9/main" objectType="CheckBox" fmlaLink="'B1-K1-W2'!$K$24" lockText="1" noThreeD="1"/>
</file>

<file path=xl/ctrlProps/ctrlProp31.xml><?xml version="1.0" encoding="utf-8"?>
<formControlPr xmlns="http://schemas.microsoft.com/office/spreadsheetml/2009/9/main" objectType="CheckBox" fmlaLink="'B1-K1-W2'!$L$24" lockText="1" noThreeD="1"/>
</file>

<file path=xl/ctrlProps/ctrlProp32.xml><?xml version="1.0" encoding="utf-8"?>
<formControlPr xmlns="http://schemas.microsoft.com/office/spreadsheetml/2009/9/main" objectType="CheckBox" fmlaLink="'B1-K1-W2'!$I$25" lockText="1" noThreeD="1"/>
</file>

<file path=xl/ctrlProps/ctrlProp33.xml><?xml version="1.0" encoding="utf-8"?>
<formControlPr xmlns="http://schemas.microsoft.com/office/spreadsheetml/2009/9/main" objectType="CheckBox" fmlaLink="'B1-K1-W2'!$J$25" lockText="1" noThreeD="1"/>
</file>

<file path=xl/ctrlProps/ctrlProp34.xml><?xml version="1.0" encoding="utf-8"?>
<formControlPr xmlns="http://schemas.microsoft.com/office/spreadsheetml/2009/9/main" objectType="CheckBox" fmlaLink="'B1-K1-W2'!$K$25" lockText="1" noThreeD="1"/>
</file>

<file path=xl/ctrlProps/ctrlProp35.xml><?xml version="1.0" encoding="utf-8"?>
<formControlPr xmlns="http://schemas.microsoft.com/office/spreadsheetml/2009/9/main" objectType="CheckBox" fmlaLink="'B1-K1-W2'!$L$25" lockText="1" noThreeD="1"/>
</file>

<file path=xl/ctrlProps/ctrlProp36.xml><?xml version="1.0" encoding="utf-8"?>
<formControlPr xmlns="http://schemas.microsoft.com/office/spreadsheetml/2009/9/main" objectType="CheckBox" fmlaLink="'B1-K1-W2'!$I$26" lockText="1" noThreeD="1"/>
</file>

<file path=xl/ctrlProps/ctrlProp37.xml><?xml version="1.0" encoding="utf-8"?>
<formControlPr xmlns="http://schemas.microsoft.com/office/spreadsheetml/2009/9/main" objectType="CheckBox" fmlaLink="'B1-K1-W2'!$J$26" lockText="1" noThreeD="1"/>
</file>

<file path=xl/ctrlProps/ctrlProp38.xml><?xml version="1.0" encoding="utf-8"?>
<formControlPr xmlns="http://schemas.microsoft.com/office/spreadsheetml/2009/9/main" objectType="CheckBox" fmlaLink="'B1-K1-W2'!$K$26" lockText="1" noThreeD="1"/>
</file>

<file path=xl/ctrlProps/ctrlProp39.xml><?xml version="1.0" encoding="utf-8"?>
<formControlPr xmlns="http://schemas.microsoft.com/office/spreadsheetml/2009/9/main" objectType="CheckBox" fmlaLink="'B1-K1-W2'!$L$26" lockText="1" noThreeD="1"/>
</file>

<file path=xl/ctrlProps/ctrlProp40.xml><?xml version="1.0" encoding="utf-8"?>
<formControlPr xmlns="http://schemas.microsoft.com/office/spreadsheetml/2009/9/main" objectType="CheckBox" fmlaLink="'B1-K1-W2'!$I$27" lockText="1" noThreeD="1"/>
</file>

<file path=xl/ctrlProps/ctrlProp41.xml><?xml version="1.0" encoding="utf-8"?>
<formControlPr xmlns="http://schemas.microsoft.com/office/spreadsheetml/2009/9/main" objectType="CheckBox" fmlaLink="'B1-K1-W2'!$J$27" lockText="1" noThreeD="1"/>
</file>

<file path=xl/ctrlProps/ctrlProp42.xml><?xml version="1.0" encoding="utf-8"?>
<formControlPr xmlns="http://schemas.microsoft.com/office/spreadsheetml/2009/9/main" objectType="CheckBox" fmlaLink="'B1-K1-W3'!$I$24" lockText="1" noThreeD="1"/>
</file>

<file path=xl/ctrlProps/ctrlProp43.xml><?xml version="1.0" encoding="utf-8"?>
<formControlPr xmlns="http://schemas.microsoft.com/office/spreadsheetml/2009/9/main" objectType="CheckBox" fmlaLink="'B1-K1-W3'!$J$24" lockText="1" noThreeD="1"/>
</file>

<file path=xl/ctrlProps/ctrlProp44.xml><?xml version="1.0" encoding="utf-8"?>
<formControlPr xmlns="http://schemas.microsoft.com/office/spreadsheetml/2009/9/main" objectType="CheckBox" fmlaLink="'B1-K1-W3'!$K$24" lockText="1" noThreeD="1"/>
</file>

<file path=xl/ctrlProps/ctrlProp45.xml><?xml version="1.0" encoding="utf-8"?>
<formControlPr xmlns="http://schemas.microsoft.com/office/spreadsheetml/2009/9/main" objectType="CheckBox" fmlaLink="'B1-K1-W3'!$L$24" lockText="1" noThreeD="1"/>
</file>

<file path=xl/ctrlProps/ctrlProp46.xml><?xml version="1.0" encoding="utf-8"?>
<formControlPr xmlns="http://schemas.microsoft.com/office/spreadsheetml/2009/9/main" objectType="CheckBox" fmlaLink="'B1-K1-W3'!$I$25" lockText="1" noThreeD="1"/>
</file>

<file path=xl/ctrlProps/ctrlProp47.xml><?xml version="1.0" encoding="utf-8"?>
<formControlPr xmlns="http://schemas.microsoft.com/office/spreadsheetml/2009/9/main" objectType="CheckBox" fmlaLink="'B1-K1-W3'!$J$25" lockText="1" noThreeD="1"/>
</file>

<file path=xl/ctrlProps/ctrlProp48.xml><?xml version="1.0" encoding="utf-8"?>
<formControlPr xmlns="http://schemas.microsoft.com/office/spreadsheetml/2009/9/main" objectType="CheckBox" fmlaLink="'B1-K1-W3'!$K$25" lockText="1" noThreeD="1"/>
</file>

<file path=xl/ctrlProps/ctrlProp49.xml><?xml version="1.0" encoding="utf-8"?>
<formControlPr xmlns="http://schemas.microsoft.com/office/spreadsheetml/2009/9/main" objectType="CheckBox" fmlaLink="'B1-K1-W3'!$L$25" lockText="1" noThreeD="1"/>
</file>

<file path=xl/ctrlProps/ctrlProp50.xml><?xml version="1.0" encoding="utf-8"?>
<formControlPr xmlns="http://schemas.microsoft.com/office/spreadsheetml/2009/9/main" objectType="CheckBox" fmlaLink="'B1-K1-W3'!$I$26" lockText="1" noThreeD="1"/>
</file>

<file path=xl/ctrlProps/ctrlProp51.xml><?xml version="1.0" encoding="utf-8"?>
<formControlPr xmlns="http://schemas.microsoft.com/office/spreadsheetml/2009/9/main" objectType="CheckBox" fmlaLink="'B1-K1-W3'!$J$26" lockText="1" noThreeD="1"/>
</file>

<file path=xl/ctrlProps/ctrlProp52.xml><?xml version="1.0" encoding="utf-8"?>
<formControlPr xmlns="http://schemas.microsoft.com/office/spreadsheetml/2009/9/main" objectType="CheckBox" fmlaLink="'B1-K1-W3'!$K$26" lockText="1" noThreeD="1"/>
</file>

<file path=xl/ctrlProps/ctrlProp53.xml><?xml version="1.0" encoding="utf-8"?>
<formControlPr xmlns="http://schemas.microsoft.com/office/spreadsheetml/2009/9/main" objectType="CheckBox" fmlaLink="'B1-K1-W3'!$L$26" lockText="1" noThreeD="1"/>
</file>

<file path=xl/ctrlProps/ctrlProp54.xml><?xml version="1.0" encoding="utf-8"?>
<formControlPr xmlns="http://schemas.microsoft.com/office/spreadsheetml/2009/9/main" objectType="CheckBox" fmlaLink="'B1-K1-W3'!$I$27" lockText="1" noThreeD="1"/>
</file>

<file path=xl/ctrlProps/ctrlProp55.xml><?xml version="1.0" encoding="utf-8"?>
<formControlPr xmlns="http://schemas.microsoft.com/office/spreadsheetml/2009/9/main" objectType="CheckBox" fmlaLink="'B1-K1-W3'!$J$27" lockText="1" noThreeD="1"/>
</file>

<file path=xl/ctrlProps/ctrlProp56.xml><?xml version="1.0" encoding="utf-8"?>
<formControlPr xmlns="http://schemas.microsoft.com/office/spreadsheetml/2009/9/main" objectType="CheckBox" fmlaLink="'B1-K1-W3'!$K$27" lockText="1" noThreeD="1"/>
</file>

<file path=xl/ctrlProps/ctrlProp57.xml><?xml version="1.0" encoding="utf-8"?>
<formControlPr xmlns="http://schemas.microsoft.com/office/spreadsheetml/2009/9/main" objectType="CheckBox" fmlaLink="'B1-K1-W3'!$L$27" lockText="1" noThreeD="1"/>
</file>

<file path=xl/ctrlProps/ctrlProp58.xml><?xml version="1.0" encoding="utf-8"?>
<formControlPr xmlns="http://schemas.microsoft.com/office/spreadsheetml/2009/9/main" objectType="CheckBox" fmlaLink="'B1-K1-W3'!$I$32" lockText="1" noThreeD="1"/>
</file>

<file path=xl/ctrlProps/ctrlProp59.xml><?xml version="1.0" encoding="utf-8"?>
<formControlPr xmlns="http://schemas.microsoft.com/office/spreadsheetml/2009/9/main" objectType="CheckBox" fmlaLink="'B1-K1-W3'!$J$32" lockText="1" noThreeD="1"/>
</file>

<file path=xl/ctrlProps/ctrlProp60.xml><?xml version="1.0" encoding="utf-8"?>
<formControlPr xmlns="http://schemas.microsoft.com/office/spreadsheetml/2009/9/main" objectType="CheckBox" fmlaLink="'B1-K1-W3'!$K$32" lockText="1" noThreeD="1"/>
</file>

<file path=xl/ctrlProps/ctrlProp61.xml><?xml version="1.0" encoding="utf-8"?>
<formControlPr xmlns="http://schemas.microsoft.com/office/spreadsheetml/2009/9/main" objectType="CheckBox" fmlaLink="'B1-K1-W3'!$L$32" lockText="1" noThreeD="1"/>
</file>

<file path=xl/ctrlProps/ctrlProp62.xml><?xml version="1.0" encoding="utf-8"?>
<formControlPr xmlns="http://schemas.microsoft.com/office/spreadsheetml/2009/9/main" objectType="CheckBox" fmlaLink="'B1-K1-W3'!$I$33" lockText="1" noThreeD="1"/>
</file>

<file path=xl/ctrlProps/ctrlProp63.xml><?xml version="1.0" encoding="utf-8"?>
<formControlPr xmlns="http://schemas.microsoft.com/office/spreadsheetml/2009/9/main" objectType="CheckBox" fmlaLink="'B1-K1-W3'!$J$33" lockText="1" noThreeD="1"/>
</file>

<file path=xl/ctrlProps/ctrlProp64.xml><?xml version="1.0" encoding="utf-8"?>
<formControlPr xmlns="http://schemas.microsoft.com/office/spreadsheetml/2009/9/main" objectType="CheckBox" fmlaLink="'B1-K1-W3'!$K$33" lockText="1" noThreeD="1"/>
</file>

<file path=xl/ctrlProps/ctrlProp65.xml><?xml version="1.0" encoding="utf-8"?>
<formControlPr xmlns="http://schemas.microsoft.com/office/spreadsheetml/2009/9/main" objectType="CheckBox" fmlaLink="'B1-K1-W3'!$L$33" lockText="1" noThreeD="1"/>
</file>

<file path=xl/ctrlProps/ctrlProp66.xml><?xml version="1.0" encoding="utf-8"?>
<formControlPr xmlns="http://schemas.microsoft.com/office/spreadsheetml/2009/9/main" objectType="CheckBox" fmlaLink="'B1-K1-W3'!$I$34" lockText="1" noThreeD="1"/>
</file>

<file path=xl/ctrlProps/ctrlProp67.xml><?xml version="1.0" encoding="utf-8"?>
<formControlPr xmlns="http://schemas.microsoft.com/office/spreadsheetml/2009/9/main" objectType="CheckBox" fmlaLink="'B1-K1-W3'!$J$34" lockText="1" noThreeD="1"/>
</file>

<file path=xl/ctrlProps/ctrlProp68.xml><?xml version="1.0" encoding="utf-8"?>
<formControlPr xmlns="http://schemas.microsoft.com/office/spreadsheetml/2009/9/main" objectType="CheckBox" fmlaLink="'B1-K1-W3'!$H$40" lockText="1" noThreeD="1"/>
</file>

<file path=xl/ctrlProps/ctrlProp69.xml><?xml version="1.0" encoding="utf-8"?>
<formControlPr xmlns="http://schemas.microsoft.com/office/spreadsheetml/2009/9/main" objectType="CheckBox" checked="Checked" fmlaLink="'B1-K1-W3'!$I$40" lockText="1" noThreeD="1"/>
</file>

<file path=xl/ctrlProps/ctrlProp70.xml><?xml version="1.0" encoding="utf-8"?>
<formControlPr xmlns="http://schemas.microsoft.com/office/spreadsheetml/2009/9/main" objectType="CheckBox" fmlaLink="'B1-K1-W3'!$H$41" lockText="1" noThreeD="1"/>
</file>

<file path=xl/ctrlProps/ctrlProp71.xml><?xml version="1.0" encoding="utf-8"?>
<formControlPr xmlns="http://schemas.microsoft.com/office/spreadsheetml/2009/9/main" objectType="CheckBox" checked="Checked" fmlaLink="'B1-K1-W3'!$I$41" lockText="1" noThreeD="1"/>
</file>

<file path=xl/ctrlProps/ctrlProp72.xml><?xml version="1.0" encoding="utf-8"?>
<formControlPr xmlns="http://schemas.microsoft.com/office/spreadsheetml/2009/9/main" objectType="CheckBox" fmlaLink="'B1-K1-W3'!$H$42" lockText="1" noThreeD="1"/>
</file>

<file path=xl/ctrlProps/ctrlProp73.xml><?xml version="1.0" encoding="utf-8"?>
<formControlPr xmlns="http://schemas.microsoft.com/office/spreadsheetml/2009/9/main" objectType="CheckBox" checked="Checked" fmlaLink="'B1-K1-W3'!$I$42" lockText="1" noThreeD="1"/>
</file>

<file path=xl/ctrlProps/ctrlProp74.xml><?xml version="1.0" encoding="utf-8"?>
<formControlPr xmlns="http://schemas.microsoft.com/office/spreadsheetml/2009/9/main" objectType="CheckBox" fmlaLink="'B1-K1-W3'!$H$46" lockText="1" noThreeD="1"/>
</file>

<file path=xl/ctrlProps/ctrlProp75.xml><?xml version="1.0" encoding="utf-8"?>
<formControlPr xmlns="http://schemas.microsoft.com/office/spreadsheetml/2009/9/main" objectType="CheckBox" checked="Checked" fmlaLink="'B1-K1-W3'!$H$47" lockText="1" noThreeD="1"/>
</file>

<file path=xl/ctrlProps/ctrlProp76.xml><?xml version="1.0" encoding="utf-8"?>
<formControlPr xmlns="http://schemas.microsoft.com/office/spreadsheetml/2009/9/main" objectType="CheckBox" fmlaLink="'B1-K1-W4'!$I$24" lockText="1" noThreeD="1"/>
</file>

<file path=xl/ctrlProps/ctrlProp77.xml><?xml version="1.0" encoding="utf-8"?>
<formControlPr xmlns="http://schemas.microsoft.com/office/spreadsheetml/2009/9/main" objectType="CheckBox" fmlaLink="'B1-K1-W4'!$J$24" lockText="1" noThreeD="1"/>
</file>

<file path=xl/ctrlProps/ctrlProp78.xml><?xml version="1.0" encoding="utf-8"?>
<formControlPr xmlns="http://schemas.microsoft.com/office/spreadsheetml/2009/9/main" objectType="CheckBox" fmlaLink="'B1-K1-W4'!$K$24" lockText="1" noThreeD="1"/>
</file>

<file path=xl/ctrlProps/ctrlProp79.xml><?xml version="1.0" encoding="utf-8"?>
<formControlPr xmlns="http://schemas.microsoft.com/office/spreadsheetml/2009/9/main" objectType="CheckBox" fmlaLink="'B1-K1-W4'!$L$24" lockText="1" noThreeD="1"/>
</file>

<file path=xl/ctrlProps/ctrlProp80.xml><?xml version="1.0" encoding="utf-8"?>
<formControlPr xmlns="http://schemas.microsoft.com/office/spreadsheetml/2009/9/main" objectType="CheckBox" fmlaLink="'B1-K1-W4'!$I$25" lockText="1" noThreeD="1"/>
</file>

<file path=xl/ctrlProps/ctrlProp81.xml><?xml version="1.0" encoding="utf-8"?>
<formControlPr xmlns="http://schemas.microsoft.com/office/spreadsheetml/2009/9/main" objectType="CheckBox" fmlaLink="'B1-K1-W4'!$J$25" lockText="1" noThreeD="1"/>
</file>

<file path=xl/ctrlProps/ctrlProp82.xml><?xml version="1.0" encoding="utf-8"?>
<formControlPr xmlns="http://schemas.microsoft.com/office/spreadsheetml/2009/9/main" objectType="CheckBox" fmlaLink="'B1-K1-W4'!$I$26" lockText="1" noThreeD="1"/>
</file>

<file path=xl/ctrlProps/ctrlProp83.xml><?xml version="1.0" encoding="utf-8"?>
<formControlPr xmlns="http://schemas.microsoft.com/office/spreadsheetml/2009/9/main" objectType="CheckBox" fmlaLink="'B1-K1-W4'!$J$26" lockText="1" noThreeD="1"/>
</file>

<file path=xl/ctrlProps/ctrlProp84.xml><?xml version="1.0" encoding="utf-8"?>
<formControlPr xmlns="http://schemas.microsoft.com/office/spreadsheetml/2009/9/main" objectType="CheckBox" fmlaLink="'B1-K1-W4'!$I$27" lockText="1" noThreeD="1"/>
</file>

<file path=xl/ctrlProps/ctrlProp85.xml><?xml version="1.0" encoding="utf-8"?>
<formControlPr xmlns="http://schemas.microsoft.com/office/spreadsheetml/2009/9/main" objectType="CheckBox" fmlaLink="'B1-K1-W4'!$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19050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C9D6F952-2BE0-4987-9FC2-7C9536E6A7CA}"/>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r>
            <a:rPr lang="nl-NL" sz="1400" b="1" baseline="0">
              <a:solidFill>
                <a:schemeClr val="tx1">
                  <a:lumMod val="50000"/>
                  <a:lumOff val="50000"/>
                </a:schemeClr>
              </a:solidFill>
            </a:rPr>
            <a:t/>
          </a: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r>
            <a:rPr lang="nl-NL" sz="1400" b="0" baseline="0">
              <a:solidFill>
                <a:schemeClr val="tx1">
                  <a:lumMod val="50000"/>
                  <a:lumOff val="50000"/>
                </a:schemeClr>
              </a:solidFill>
            </a:rPr>
            <a:t/>
          </a: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336550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69850</xdr:colOff>
          <xdr:row>0</xdr:row>
          <xdr:rowOff>57150</xdr:rowOff>
        </xdr:from>
        <xdr:to>
          <xdr:col>8</xdr:col>
          <xdr:colOff>0</xdr:colOff>
          <xdr:row>0</xdr:row>
          <xdr:rowOff>336550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6322" name="Check Box 2" hidden="1">
              <a:extLst>
                <a:ext uri="{63B3BB69-23CF-44E3-9099-C40C66FF867C}">
                  <a14:compatExt spid="_x0000_s563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6323" name="Check Box 3" hidden="1">
              <a:extLst>
                <a:ext uri="{63B3BB69-23CF-44E3-9099-C40C66FF867C}">
                  <a14:compatExt spid="_x0000_s563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6324" name="Check Box 4" hidden="1">
              <a:extLst>
                <a:ext uri="{63B3BB69-23CF-44E3-9099-C40C66FF867C}">
                  <a14:compatExt spid="_x0000_s563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6325" name="Check Box 5" hidden="1">
              <a:extLst>
                <a:ext uri="{63B3BB69-23CF-44E3-9099-C40C66FF867C}">
                  <a14:compatExt spid="_x0000_s56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6326" name="Check Box 6" hidden="1">
              <a:extLst>
                <a:ext uri="{63B3BB69-23CF-44E3-9099-C40C66FF867C}">
                  <a14:compatExt spid="_x0000_s563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6327" name="Check Box 7" hidden="1">
              <a:extLst>
                <a:ext uri="{63B3BB69-23CF-44E3-9099-C40C66FF867C}">
                  <a14:compatExt spid="_x0000_s563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6328" name="Check Box 8" hidden="1">
              <a:extLst>
                <a:ext uri="{63B3BB69-23CF-44E3-9099-C40C66FF867C}">
                  <a14:compatExt spid="_x0000_s563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6329" name="Check Box 9" hidden="1">
              <a:extLst>
                <a:ext uri="{63B3BB69-23CF-44E3-9099-C40C66FF867C}">
                  <a14:compatExt spid="_x0000_s563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6330" name="Check Box 10" hidden="1">
              <a:extLst>
                <a:ext uri="{63B3BB69-23CF-44E3-9099-C40C66FF867C}">
                  <a14:compatExt spid="_x0000_s563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6331" name="Check Box 11" hidden="1">
              <a:extLst>
                <a:ext uri="{63B3BB69-23CF-44E3-9099-C40C66FF867C}">
                  <a14:compatExt spid="_x0000_s563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6332" name="Check Box 12" hidden="1">
              <a:extLst>
                <a:ext uri="{63B3BB69-23CF-44E3-9099-C40C66FF867C}">
                  <a14:compatExt spid="_x0000_s563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6333" name="Check Box 13" hidden="1">
              <a:extLst>
                <a:ext uri="{63B3BB69-23CF-44E3-9099-C40C66FF867C}">
                  <a14:compatExt spid="_x0000_s563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6334" name="Check Box 14" hidden="1">
              <a:extLst>
                <a:ext uri="{63B3BB69-23CF-44E3-9099-C40C66FF867C}">
                  <a14:compatExt spid="_x0000_s563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6335" name="Check Box 15" hidden="1">
              <a:extLst>
                <a:ext uri="{63B3BB69-23CF-44E3-9099-C40C66FF867C}">
                  <a14:compatExt spid="_x0000_s563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209550</xdr:rowOff>
        </xdr:to>
        <xdr:sp macro="" textlink="">
          <xdr:nvSpPr>
            <xdr:cNvPr id="56336" name="Check Box 16" hidden="1">
              <a:extLst>
                <a:ext uri="{63B3BB69-23CF-44E3-9099-C40C66FF867C}">
                  <a14:compatExt spid="_x0000_s563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209550</xdr:rowOff>
        </xdr:to>
        <xdr:sp macro="" textlink="">
          <xdr:nvSpPr>
            <xdr:cNvPr id="56337" name="Check Box 17" hidden="1">
              <a:extLst>
                <a:ext uri="{63B3BB69-23CF-44E3-9099-C40C66FF867C}">
                  <a14:compatExt spid="_x0000_s563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209550</xdr:rowOff>
        </xdr:to>
        <xdr:sp macro="" textlink="">
          <xdr:nvSpPr>
            <xdr:cNvPr id="56338" name="Check Box 18" hidden="1">
              <a:extLst>
                <a:ext uri="{63B3BB69-23CF-44E3-9099-C40C66FF867C}">
                  <a14:compatExt spid="_x0000_s563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209550</xdr:rowOff>
        </xdr:to>
        <xdr:sp macro="" textlink="">
          <xdr:nvSpPr>
            <xdr:cNvPr id="56339" name="Check Box 19" hidden="1">
              <a:extLst>
                <a:ext uri="{63B3BB69-23CF-44E3-9099-C40C66FF867C}">
                  <a14:compatExt spid="_x0000_s563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209550</xdr:rowOff>
        </xdr:to>
        <xdr:sp macro="" textlink="">
          <xdr:nvSpPr>
            <xdr:cNvPr id="56340" name="Check Box 20" hidden="1">
              <a:extLst>
                <a:ext uri="{63B3BB69-23CF-44E3-9099-C40C66FF867C}">
                  <a14:compatExt spid="_x0000_s563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209550</xdr:rowOff>
        </xdr:to>
        <xdr:sp macro="" textlink="">
          <xdr:nvSpPr>
            <xdr:cNvPr id="56341" name="Check Box 21" hidden="1">
              <a:extLst>
                <a:ext uri="{63B3BB69-23CF-44E3-9099-C40C66FF867C}">
                  <a14:compatExt spid="_x0000_s563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209550</xdr:rowOff>
        </xdr:to>
        <xdr:sp macro="" textlink="">
          <xdr:nvSpPr>
            <xdr:cNvPr id="56342" name="Check Box 22" hidden="1">
              <a:extLst>
                <a:ext uri="{63B3BB69-23CF-44E3-9099-C40C66FF867C}">
                  <a14:compatExt spid="_x0000_s563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209550</xdr:rowOff>
        </xdr:to>
        <xdr:sp macro="" textlink="">
          <xdr:nvSpPr>
            <xdr:cNvPr id="56343" name="Check Box 23" hidden="1">
              <a:extLst>
                <a:ext uri="{63B3BB69-23CF-44E3-9099-C40C66FF867C}">
                  <a14:compatExt spid="_x0000_s563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29</xdr:row>
          <xdr:rowOff>209550</xdr:rowOff>
        </xdr:to>
        <xdr:sp macro="" textlink="">
          <xdr:nvSpPr>
            <xdr:cNvPr id="56344" name="Check Box 24" hidden="1">
              <a:extLst>
                <a:ext uri="{63B3BB69-23CF-44E3-9099-C40C66FF867C}">
                  <a14:compatExt spid="_x0000_s563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29</xdr:row>
          <xdr:rowOff>209550</xdr:rowOff>
        </xdr:to>
        <xdr:sp macro="" textlink="">
          <xdr:nvSpPr>
            <xdr:cNvPr id="56345" name="Check Box 25" hidden="1">
              <a:extLst>
                <a:ext uri="{63B3BB69-23CF-44E3-9099-C40C66FF867C}">
                  <a14:compatExt spid="_x0000_s563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7346" name="Check Box 2" hidden="1">
              <a:extLst>
                <a:ext uri="{63B3BB69-23CF-44E3-9099-C40C66FF867C}">
                  <a14:compatExt spid="_x0000_s573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7347" name="Check Box 3" hidden="1">
              <a:extLst>
                <a:ext uri="{63B3BB69-23CF-44E3-9099-C40C66FF867C}">
                  <a14:compatExt spid="_x0000_s573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7348" name="Check Box 4" hidden="1">
              <a:extLst>
                <a:ext uri="{63B3BB69-23CF-44E3-9099-C40C66FF867C}">
                  <a14:compatExt spid="_x0000_s573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7349" name="Check Box 5" hidden="1">
              <a:extLst>
                <a:ext uri="{63B3BB69-23CF-44E3-9099-C40C66FF867C}">
                  <a14:compatExt spid="_x0000_s573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7350" name="Check Box 6" hidden="1">
              <a:extLst>
                <a:ext uri="{63B3BB69-23CF-44E3-9099-C40C66FF867C}">
                  <a14:compatExt spid="_x0000_s573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7351" name="Check Box 7" hidden="1">
              <a:extLst>
                <a:ext uri="{63B3BB69-23CF-44E3-9099-C40C66FF867C}">
                  <a14:compatExt spid="_x0000_s573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7352" name="Check Box 8" hidden="1">
              <a:extLst>
                <a:ext uri="{63B3BB69-23CF-44E3-9099-C40C66FF867C}">
                  <a14:compatExt spid="_x0000_s573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7353" name="Check Box 9" hidden="1">
              <a:extLst>
                <a:ext uri="{63B3BB69-23CF-44E3-9099-C40C66FF867C}">
                  <a14:compatExt spid="_x0000_s573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7354" name="Check Box 10" hidden="1">
              <a:extLst>
                <a:ext uri="{63B3BB69-23CF-44E3-9099-C40C66FF867C}">
                  <a14:compatExt spid="_x0000_s573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7355" name="Check Box 11" hidden="1">
              <a:extLst>
                <a:ext uri="{63B3BB69-23CF-44E3-9099-C40C66FF867C}">
                  <a14:compatExt spid="_x0000_s573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7356" name="Check Box 12" hidden="1">
              <a:extLst>
                <a:ext uri="{63B3BB69-23CF-44E3-9099-C40C66FF867C}">
                  <a14:compatExt spid="_x0000_s573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7357" name="Check Box 13" hidden="1">
              <a:extLst>
                <a:ext uri="{63B3BB69-23CF-44E3-9099-C40C66FF867C}">
                  <a14:compatExt spid="_x0000_s573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7358" name="Check Box 14" hidden="1">
              <a:extLst>
                <a:ext uri="{63B3BB69-23CF-44E3-9099-C40C66FF867C}">
                  <a14:compatExt spid="_x0000_s573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7359" name="Check Box 15" hidden="1">
              <a:extLst>
                <a:ext uri="{63B3BB69-23CF-44E3-9099-C40C66FF867C}">
                  <a14:compatExt spid="_x0000_s573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8370" name="Check Box 2" hidden="1">
              <a:extLst>
                <a:ext uri="{63B3BB69-23CF-44E3-9099-C40C66FF867C}">
                  <a14:compatExt spid="_x0000_s583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8371" name="Check Box 3" hidden="1">
              <a:extLst>
                <a:ext uri="{63B3BB69-23CF-44E3-9099-C40C66FF867C}">
                  <a14:compatExt spid="_x0000_s583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8372" name="Check Box 4" hidden="1">
              <a:extLst>
                <a:ext uri="{63B3BB69-23CF-44E3-9099-C40C66FF867C}">
                  <a14:compatExt spid="_x0000_s583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8373" name="Check Box 5" hidden="1">
              <a:extLst>
                <a:ext uri="{63B3BB69-23CF-44E3-9099-C40C66FF867C}">
                  <a14:compatExt spid="_x0000_s583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8374" name="Check Box 6" hidden="1">
              <a:extLst>
                <a:ext uri="{63B3BB69-23CF-44E3-9099-C40C66FF867C}">
                  <a14:compatExt spid="_x0000_s583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8375" name="Check Box 7" hidden="1">
              <a:extLst>
                <a:ext uri="{63B3BB69-23CF-44E3-9099-C40C66FF867C}">
                  <a14:compatExt spid="_x0000_s583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8376" name="Check Box 8" hidden="1">
              <a:extLst>
                <a:ext uri="{63B3BB69-23CF-44E3-9099-C40C66FF867C}">
                  <a14:compatExt spid="_x0000_s583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8377" name="Check Box 9" hidden="1">
              <a:extLst>
                <a:ext uri="{63B3BB69-23CF-44E3-9099-C40C66FF867C}">
                  <a14:compatExt spid="_x0000_s583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8378" name="Check Box 10" hidden="1">
              <a:extLst>
                <a:ext uri="{63B3BB69-23CF-44E3-9099-C40C66FF867C}">
                  <a14:compatExt spid="_x0000_s583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8379" name="Check Box 11" hidden="1">
              <a:extLst>
                <a:ext uri="{63B3BB69-23CF-44E3-9099-C40C66FF867C}">
                  <a14:compatExt spid="_x0000_s583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8380" name="Check Box 12" hidden="1">
              <a:extLst>
                <a:ext uri="{63B3BB69-23CF-44E3-9099-C40C66FF867C}">
                  <a14:compatExt spid="_x0000_s583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8381" name="Check Box 13" hidden="1">
              <a:extLst>
                <a:ext uri="{63B3BB69-23CF-44E3-9099-C40C66FF867C}">
                  <a14:compatExt spid="_x0000_s583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8382" name="Check Box 14" hidden="1">
              <a:extLst>
                <a:ext uri="{63B3BB69-23CF-44E3-9099-C40C66FF867C}">
                  <a14:compatExt spid="_x0000_s583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8383" name="Check Box 15" hidden="1">
              <a:extLst>
                <a:ext uri="{63B3BB69-23CF-44E3-9099-C40C66FF867C}">
                  <a14:compatExt spid="_x0000_s583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8384" name="Check Box 16" hidden="1">
              <a:extLst>
                <a:ext uri="{63B3BB69-23CF-44E3-9099-C40C66FF867C}">
                  <a14:compatExt spid="_x0000_s583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8385" name="Check Box 17" hidden="1">
              <a:extLst>
                <a:ext uri="{63B3BB69-23CF-44E3-9099-C40C66FF867C}">
                  <a14:compatExt spid="_x0000_s583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8386" name="Check Box 18" hidden="1">
              <a:extLst>
                <a:ext uri="{63B3BB69-23CF-44E3-9099-C40C66FF867C}">
                  <a14:compatExt spid="_x0000_s583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8387" name="Check Box 19" hidden="1">
              <a:extLst>
                <a:ext uri="{63B3BB69-23CF-44E3-9099-C40C66FF867C}">
                  <a14:compatExt spid="_x0000_s583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8388" name="Check Box 20" hidden="1">
              <a:extLst>
                <a:ext uri="{63B3BB69-23CF-44E3-9099-C40C66FF867C}">
                  <a14:compatExt spid="_x0000_s583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8389" name="Check Box 21" hidden="1">
              <a:extLst>
                <a:ext uri="{63B3BB69-23CF-44E3-9099-C40C66FF867C}">
                  <a14:compatExt spid="_x0000_s583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8390" name="Check Box 22" hidden="1">
              <a:extLst>
                <a:ext uri="{63B3BB69-23CF-44E3-9099-C40C66FF867C}">
                  <a14:compatExt spid="_x0000_s583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8391" name="Check Box 23" hidden="1">
              <a:extLst>
                <a:ext uri="{63B3BB69-23CF-44E3-9099-C40C66FF867C}">
                  <a14:compatExt spid="_x0000_s583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8392" name="Check Box 24" hidden="1">
              <a:extLst>
                <a:ext uri="{63B3BB69-23CF-44E3-9099-C40C66FF867C}">
                  <a14:compatExt spid="_x0000_s583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8393" name="Check Box 25" hidden="1">
              <a:extLst>
                <a:ext uri="{63B3BB69-23CF-44E3-9099-C40C66FF867C}">
                  <a14:compatExt spid="_x0000_s583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8394" name="Check Box 26" hidden="1">
              <a:extLst>
                <a:ext uri="{63B3BB69-23CF-44E3-9099-C40C66FF867C}">
                  <a14:compatExt spid="_x0000_s583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8395" name="Check Box 27" hidden="1">
              <a:extLst>
                <a:ext uri="{63B3BB69-23CF-44E3-9099-C40C66FF867C}">
                  <a14:compatExt spid="_x0000_s583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19050</xdr:rowOff>
        </xdr:to>
        <xdr:sp macro="" textlink="">
          <xdr:nvSpPr>
            <xdr:cNvPr id="58396" name="Check Box 28" hidden="1">
              <a:extLst>
                <a:ext uri="{63B3BB69-23CF-44E3-9099-C40C66FF867C}">
                  <a14:compatExt spid="_x0000_s583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19050</xdr:rowOff>
        </xdr:to>
        <xdr:sp macro="" textlink="">
          <xdr:nvSpPr>
            <xdr:cNvPr id="58397" name="Check Box 29" hidden="1">
              <a:extLst>
                <a:ext uri="{63B3BB69-23CF-44E3-9099-C40C66FF867C}">
                  <a14:compatExt spid="_x0000_s583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19050</xdr:rowOff>
        </xdr:to>
        <xdr:sp macro="" textlink="">
          <xdr:nvSpPr>
            <xdr:cNvPr id="58398" name="Check Box 30" hidden="1">
              <a:extLst>
                <a:ext uri="{63B3BB69-23CF-44E3-9099-C40C66FF867C}">
                  <a14:compatExt spid="_x0000_s583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19050</xdr:rowOff>
        </xdr:to>
        <xdr:sp macro="" textlink="">
          <xdr:nvSpPr>
            <xdr:cNvPr id="58399" name="Check Box 31" hidden="1">
              <a:extLst>
                <a:ext uri="{63B3BB69-23CF-44E3-9099-C40C66FF867C}">
                  <a14:compatExt spid="_x0000_s583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8400" name="Check Box 32" hidden="1">
              <a:extLst>
                <a:ext uri="{63B3BB69-23CF-44E3-9099-C40C66FF867C}">
                  <a14:compatExt spid="_x0000_s58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8401" name="Check Box 33" hidden="1">
              <a:extLst>
                <a:ext uri="{63B3BB69-23CF-44E3-9099-C40C66FF867C}">
                  <a14:compatExt spid="_x0000_s584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2</xdr:col>
          <xdr:colOff>0</xdr:colOff>
          <xdr:row>46</xdr:row>
          <xdr:rowOff>19050</xdr:rowOff>
        </xdr:to>
        <xdr:sp macro="" textlink="">
          <xdr:nvSpPr>
            <xdr:cNvPr id="58402" name="Check Box 34" hidden="1">
              <a:extLst>
                <a:ext uri="{63B3BB69-23CF-44E3-9099-C40C66FF867C}">
                  <a14:compatExt spid="_x0000_s584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2</xdr:col>
          <xdr:colOff>0</xdr:colOff>
          <xdr:row>47</xdr:row>
          <xdr:rowOff>19050</xdr:rowOff>
        </xdr:to>
        <xdr:sp macro="" textlink="">
          <xdr:nvSpPr>
            <xdr:cNvPr id="58403" name="Check Box 35" hidden="1">
              <a:extLst>
                <a:ext uri="{63B3BB69-23CF-44E3-9099-C40C66FF867C}">
                  <a14:compatExt spid="_x0000_s584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9394" name="Check Box 2" hidden="1">
              <a:extLst>
                <a:ext uri="{63B3BB69-23CF-44E3-9099-C40C66FF867C}">
                  <a14:compatExt spid="_x0000_s593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9395" name="Check Box 3" hidden="1">
              <a:extLst>
                <a:ext uri="{63B3BB69-23CF-44E3-9099-C40C66FF867C}">
                  <a14:compatExt spid="_x0000_s593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9396" name="Check Box 4" hidden="1">
              <a:extLst>
                <a:ext uri="{63B3BB69-23CF-44E3-9099-C40C66FF867C}">
                  <a14:compatExt spid="_x0000_s593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9397" name="Check Box 5" hidden="1">
              <a:extLst>
                <a:ext uri="{63B3BB69-23CF-44E3-9099-C40C66FF867C}">
                  <a14:compatExt spid="_x0000_s593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9398" name="Check Box 6" hidden="1">
              <a:extLst>
                <a:ext uri="{63B3BB69-23CF-44E3-9099-C40C66FF867C}">
                  <a14:compatExt spid="_x0000_s593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9399" name="Check Box 7" hidden="1">
              <a:extLst>
                <a:ext uri="{63B3BB69-23CF-44E3-9099-C40C66FF867C}">
                  <a14:compatExt spid="_x0000_s593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9400" name="Check Box 8" hidden="1">
              <a:extLst>
                <a:ext uri="{63B3BB69-23CF-44E3-9099-C40C66FF867C}">
                  <a14:compatExt spid="_x0000_s59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9401" name="Check Box 9" hidden="1">
              <a:extLst>
                <a:ext uri="{63B3BB69-23CF-44E3-9099-C40C66FF867C}">
                  <a14:compatExt spid="_x0000_s594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9402" name="Check Box 10" hidden="1">
              <a:extLst>
                <a:ext uri="{63B3BB69-23CF-44E3-9099-C40C66FF867C}">
                  <a14:compatExt spid="_x0000_s594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9403" name="Check Box 11" hidden="1">
              <a:extLst>
                <a:ext uri="{63B3BB69-23CF-44E3-9099-C40C66FF867C}">
                  <a14:compatExt spid="_x0000_s594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omments" Target="../comments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31.xml"/><Relationship Id="rId12" Type="http://schemas.openxmlformats.org/officeDocument/2006/relationships/ctrlProp" Target="../ctrlProps/ctrlProp36.xml"/><Relationship Id="rId17" Type="http://schemas.openxmlformats.org/officeDocument/2006/relationships/ctrlProp" Target="../ctrlProps/ctrlProp41.xml"/><Relationship Id="rId2" Type="http://schemas.openxmlformats.org/officeDocument/2006/relationships/drawing" Target="../drawings/drawing4.xml"/><Relationship Id="rId16" Type="http://schemas.openxmlformats.org/officeDocument/2006/relationships/ctrlProp" Target="../ctrlProps/ctrlProp40.xml"/><Relationship Id="rId1" Type="http://schemas.openxmlformats.org/officeDocument/2006/relationships/printerSettings" Target="../printerSettings/printerSettings7.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trlProp" Target="../ctrlProps/ctrlProp3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6.xml"/><Relationship Id="rId13" Type="http://schemas.openxmlformats.org/officeDocument/2006/relationships/ctrlProp" Target="../ctrlProps/ctrlProp51.xml"/><Relationship Id="rId18" Type="http://schemas.openxmlformats.org/officeDocument/2006/relationships/ctrlProp" Target="../ctrlProps/ctrlProp56.xml"/><Relationship Id="rId26" Type="http://schemas.openxmlformats.org/officeDocument/2006/relationships/ctrlProp" Target="../ctrlProps/ctrlProp64.xml"/><Relationship Id="rId3" Type="http://schemas.openxmlformats.org/officeDocument/2006/relationships/vmlDrawing" Target="../drawings/vmlDrawing7.vml"/><Relationship Id="rId21" Type="http://schemas.openxmlformats.org/officeDocument/2006/relationships/ctrlProp" Target="../ctrlProps/ctrlProp59.xml"/><Relationship Id="rId34" Type="http://schemas.openxmlformats.org/officeDocument/2006/relationships/ctrlProp" Target="../ctrlProps/ctrlProp72.xml"/><Relationship Id="rId7" Type="http://schemas.openxmlformats.org/officeDocument/2006/relationships/ctrlProp" Target="../ctrlProps/ctrlProp45.xml"/><Relationship Id="rId12" Type="http://schemas.openxmlformats.org/officeDocument/2006/relationships/ctrlProp" Target="../ctrlProps/ctrlProp50.xml"/><Relationship Id="rId17" Type="http://schemas.openxmlformats.org/officeDocument/2006/relationships/ctrlProp" Target="../ctrlProps/ctrlProp55.xml"/><Relationship Id="rId25" Type="http://schemas.openxmlformats.org/officeDocument/2006/relationships/ctrlProp" Target="../ctrlProps/ctrlProp63.xml"/><Relationship Id="rId33" Type="http://schemas.openxmlformats.org/officeDocument/2006/relationships/ctrlProp" Target="../ctrlProps/ctrlProp71.xml"/><Relationship Id="rId38" Type="http://schemas.openxmlformats.org/officeDocument/2006/relationships/comments" Target="../comments5.xml"/><Relationship Id="rId2" Type="http://schemas.openxmlformats.org/officeDocument/2006/relationships/drawing" Target="../drawings/drawing5.xml"/><Relationship Id="rId16" Type="http://schemas.openxmlformats.org/officeDocument/2006/relationships/ctrlProp" Target="../ctrlProps/ctrlProp54.xml"/><Relationship Id="rId20" Type="http://schemas.openxmlformats.org/officeDocument/2006/relationships/ctrlProp" Target="../ctrlProps/ctrlProp58.xml"/><Relationship Id="rId29" Type="http://schemas.openxmlformats.org/officeDocument/2006/relationships/ctrlProp" Target="../ctrlProps/ctrlProp67.xml"/><Relationship Id="rId1" Type="http://schemas.openxmlformats.org/officeDocument/2006/relationships/printerSettings" Target="../printerSettings/printerSettings8.bin"/><Relationship Id="rId6" Type="http://schemas.openxmlformats.org/officeDocument/2006/relationships/ctrlProp" Target="../ctrlProps/ctrlProp44.xml"/><Relationship Id="rId11" Type="http://schemas.openxmlformats.org/officeDocument/2006/relationships/ctrlProp" Target="../ctrlProps/ctrlProp49.xml"/><Relationship Id="rId24" Type="http://schemas.openxmlformats.org/officeDocument/2006/relationships/ctrlProp" Target="../ctrlProps/ctrlProp62.xml"/><Relationship Id="rId32" Type="http://schemas.openxmlformats.org/officeDocument/2006/relationships/ctrlProp" Target="../ctrlProps/ctrlProp70.xml"/><Relationship Id="rId37" Type="http://schemas.openxmlformats.org/officeDocument/2006/relationships/ctrlProp" Target="../ctrlProps/ctrlProp75.xml"/><Relationship Id="rId5" Type="http://schemas.openxmlformats.org/officeDocument/2006/relationships/ctrlProp" Target="../ctrlProps/ctrlProp43.xml"/><Relationship Id="rId15" Type="http://schemas.openxmlformats.org/officeDocument/2006/relationships/ctrlProp" Target="../ctrlProps/ctrlProp53.xml"/><Relationship Id="rId23" Type="http://schemas.openxmlformats.org/officeDocument/2006/relationships/ctrlProp" Target="../ctrlProps/ctrlProp61.xml"/><Relationship Id="rId28" Type="http://schemas.openxmlformats.org/officeDocument/2006/relationships/ctrlProp" Target="../ctrlProps/ctrlProp66.xml"/><Relationship Id="rId36" Type="http://schemas.openxmlformats.org/officeDocument/2006/relationships/ctrlProp" Target="../ctrlProps/ctrlProp74.xml"/><Relationship Id="rId10" Type="http://schemas.openxmlformats.org/officeDocument/2006/relationships/ctrlProp" Target="../ctrlProps/ctrlProp48.xml"/><Relationship Id="rId19" Type="http://schemas.openxmlformats.org/officeDocument/2006/relationships/ctrlProp" Target="../ctrlProps/ctrlProp57.xml"/><Relationship Id="rId31" Type="http://schemas.openxmlformats.org/officeDocument/2006/relationships/ctrlProp" Target="../ctrlProps/ctrlProp69.xml"/><Relationship Id="rId4" Type="http://schemas.openxmlformats.org/officeDocument/2006/relationships/ctrlProp" Target="../ctrlProps/ctrlProp42.xml"/><Relationship Id="rId9" Type="http://schemas.openxmlformats.org/officeDocument/2006/relationships/ctrlProp" Target="../ctrlProps/ctrlProp47.xml"/><Relationship Id="rId14" Type="http://schemas.openxmlformats.org/officeDocument/2006/relationships/ctrlProp" Target="../ctrlProps/ctrlProp52.xml"/><Relationship Id="rId22" Type="http://schemas.openxmlformats.org/officeDocument/2006/relationships/ctrlProp" Target="../ctrlProps/ctrlProp60.xml"/><Relationship Id="rId27" Type="http://schemas.openxmlformats.org/officeDocument/2006/relationships/ctrlProp" Target="../ctrlProps/ctrlProp65.xml"/><Relationship Id="rId30" Type="http://schemas.openxmlformats.org/officeDocument/2006/relationships/ctrlProp" Target="../ctrlProps/ctrlProp68.xml"/><Relationship Id="rId35" Type="http://schemas.openxmlformats.org/officeDocument/2006/relationships/ctrlProp" Target="../ctrlProps/ctrlProp7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8.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4.5" x14ac:dyDescent="0.35"/>
  <cols>
    <col min="2" max="2" width="33.1796875" customWidth="1"/>
    <col min="3" max="3" width="65.453125" customWidth="1"/>
  </cols>
  <sheetData>
    <row r="2" spans="2:3" x14ac:dyDescent="0.35">
      <c r="B2" t="s">
        <v>13</v>
      </c>
    </row>
    <row r="3" spans="2:3" x14ac:dyDescent="0.35">
      <c r="B3" s="2" t="s">
        <v>14</v>
      </c>
    </row>
    <row r="4" spans="2:3" x14ac:dyDescent="0.35">
      <c r="B4" s="2" t="s">
        <v>15</v>
      </c>
    </row>
    <row r="6" spans="2:3" x14ac:dyDescent="0.35">
      <c r="B6" t="s">
        <v>30</v>
      </c>
    </row>
    <row r="7" spans="2:3" x14ac:dyDescent="0.35">
      <c r="B7" s="2">
        <v>0</v>
      </c>
      <c r="C7" s="15" t="s">
        <v>33</v>
      </c>
    </row>
    <row r="9" spans="2:3" x14ac:dyDescent="0.35">
      <c r="B9" t="s">
        <v>45</v>
      </c>
    </row>
    <row r="10" spans="2:3" ht="45" customHeight="1" x14ac:dyDescent="0.35">
      <c r="B10" s="19" t="s">
        <v>46</v>
      </c>
      <c r="C10" s="23" t="s">
        <v>67</v>
      </c>
    </row>
    <row r="12" spans="2:3" x14ac:dyDescent="0.35">
      <c r="B12" t="s">
        <v>49</v>
      </c>
      <c r="C12" s="39"/>
    </row>
    <row r="15" spans="2:3" x14ac:dyDescent="0.35">
      <c r="B15" t="s">
        <v>59</v>
      </c>
      <c r="C15" s="46" t="s">
        <v>58</v>
      </c>
    </row>
    <row r="17" spans="2:3" x14ac:dyDescent="0.35">
      <c r="B17" t="s">
        <v>62</v>
      </c>
      <c r="C17" t="s">
        <v>63</v>
      </c>
    </row>
    <row r="19" spans="2:3" x14ac:dyDescent="0.35">
      <c r="B19" t="s">
        <v>68</v>
      </c>
      <c r="C19" s="57">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4.5" x14ac:dyDescent="0.35"/>
  <cols>
    <col min="1" max="1" width="33.1796875" customWidth="1"/>
    <col min="2" max="3" width="33.54296875" customWidth="1"/>
  </cols>
  <sheetData>
    <row r="1" spans="1:6" ht="31" x14ac:dyDescent="0.7">
      <c r="A1" s="83" t="s">
        <v>64</v>
      </c>
      <c r="B1" s="83"/>
      <c r="C1" s="83"/>
    </row>
    <row r="3" spans="1:6" ht="24" customHeight="1" x14ac:dyDescent="0.35">
      <c r="A3" s="78" t="s">
        <v>35</v>
      </c>
      <c r="B3" s="79"/>
      <c r="C3" s="80"/>
    </row>
    <row r="4" spans="1:6" ht="2.25" customHeight="1" x14ac:dyDescent="0.35">
      <c r="A4" s="30"/>
      <c r="B4" s="41"/>
      <c r="C4" s="41"/>
    </row>
    <row r="5" spans="1:6" s="16" customFormat="1" ht="34.5" customHeight="1" x14ac:dyDescent="0.35">
      <c r="A5" s="42" t="s">
        <v>53</v>
      </c>
      <c r="B5" s="40" t="str">
        <f>KerntakenEnWerkprocessen!B4</f>
        <v>BF_AMO_AO16-B1-K1_3</v>
      </c>
      <c r="C5" s="44">
        <f>KerntakenEnWerkprocessen!B3</f>
        <v>42519</v>
      </c>
    </row>
    <row r="6" spans="1:6" s="16" customFormat="1" ht="23.25" customHeight="1" x14ac:dyDescent="0.35">
      <c r="A6" s="18" t="s">
        <v>36</v>
      </c>
      <c r="B6" s="84" t="str">
        <f>KerntakenEnWerkprocessen!C6</f>
        <v>[Examenvorm]</v>
      </c>
      <c r="C6" s="85"/>
    </row>
    <row r="7" spans="1:6" s="16" customFormat="1" ht="23.25" customHeight="1" x14ac:dyDescent="0.35">
      <c r="A7" s="18" t="s">
        <v>50</v>
      </c>
      <c r="B7" s="84" t="str">
        <f>KerntakenEnWerkprocessen!B7</f>
        <v>[Examennaam]</v>
      </c>
      <c r="C7" s="85"/>
    </row>
    <row r="8" spans="1:6" s="16" customFormat="1" ht="23.25" customHeight="1" x14ac:dyDescent="0.35">
      <c r="A8" s="18" t="s">
        <v>51</v>
      </c>
      <c r="B8" s="84" t="str">
        <f>KerntakenEnWerkprocessen!C7</f>
        <v>[KW_KDcohort-EPx_B/Px-Kx_1X1]</v>
      </c>
      <c r="C8" s="85"/>
    </row>
    <row r="9" spans="1:6" s="16" customFormat="1" ht="23.25" customHeight="1" x14ac:dyDescent="0.35">
      <c r="A9" s="18" t="s">
        <v>57</v>
      </c>
      <c r="B9" s="84" t="str">
        <f>KerntakenEnWerkprocessen!B9</f>
        <v>Applicatie- en mediaontwikkelaar, 4</v>
      </c>
      <c r="C9" s="85"/>
    </row>
    <row r="10" spans="1:6" s="16" customFormat="1" ht="23.25" customHeight="1" x14ac:dyDescent="0.35">
      <c r="A10" s="18" t="s">
        <v>56</v>
      </c>
      <c r="B10" s="84" t="str">
        <f>KerntakenEnWerkprocessen!B8</f>
        <v>Applicatieontwikkeling</v>
      </c>
      <c r="C10" s="85"/>
    </row>
    <row r="11" spans="1:6" s="16" customFormat="1" ht="23.25" customHeight="1" x14ac:dyDescent="0.35">
      <c r="A11" s="18" t="s">
        <v>52</v>
      </c>
      <c r="B11" s="22" t="str">
        <f>KerntakenEnWerkprocessen!C8</f>
        <v>2016 en verder</v>
      </c>
      <c r="C11" s="22">
        <f>KerntakenEnWerkprocessen!C9</f>
        <v>25187</v>
      </c>
    </row>
    <row r="12" spans="1:6" s="37" customFormat="1" ht="23.25" customHeight="1" x14ac:dyDescent="0.35">
      <c r="A12" s="38" t="s">
        <v>9</v>
      </c>
      <c r="B12" s="82" t="str">
        <f>KerntakenEnWerkprocessen!C5</f>
        <v>Levert een bijdrage aan het ontwikkeltraject</v>
      </c>
      <c r="C12" s="82"/>
    </row>
    <row r="13" spans="1:6" s="16" customFormat="1" ht="2.15" customHeight="1" x14ac:dyDescent="0.35">
      <c r="A13" s="30"/>
      <c r="B13" s="32"/>
      <c r="C13" s="33"/>
    </row>
    <row r="14" spans="1:6" ht="222.75" customHeight="1" x14ac:dyDescent="0.35">
      <c r="A14" s="31" t="s">
        <v>10</v>
      </c>
      <c r="B14" s="81" t="str">
        <f>KerntakenEnWerkprocessen!F2</f>
        <v xml:space="preserve">B1-K1-W1 Stelt de opdracht vast
B1-K1-W2 Levert een bijdrage aan het projectplan
B1-K1-W3 Levert een bijdrage aan het ontwerp
B1-K1-W4 Bereidt de realisatie voor 
</v>
      </c>
      <c r="C14" s="81"/>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4.5" x14ac:dyDescent="0.35"/>
  <cols>
    <col min="1" max="1" width="18.1796875" customWidth="1"/>
    <col min="2" max="2" width="20.1796875" customWidth="1"/>
    <col min="3" max="3" width="17.26953125" customWidth="1"/>
    <col min="4" max="7" width="23.7265625" style="8" customWidth="1"/>
  </cols>
  <sheetData>
    <row r="1" spans="1:7" x14ac:dyDescent="0.35">
      <c r="A1" t="s">
        <v>25</v>
      </c>
      <c r="B1" s="6"/>
      <c r="C1" s="56" t="e">
        <f>VLOOKUP(B1,werkprocessen,2,FALSE)</f>
        <v>#N/A</v>
      </c>
    </row>
    <row r="2" spans="1:7" x14ac:dyDescent="0.35">
      <c r="A2" t="s">
        <v>26</v>
      </c>
      <c r="B2" s="6" t="e">
        <f>VLOOKUP(B1,KerntakenEnWerkprocessen!B13:E27,3,FALSE)</f>
        <v>#N/A</v>
      </c>
    </row>
    <row r="3" spans="1:7" x14ac:dyDescent="0.35">
      <c r="A3" t="s">
        <v>27</v>
      </c>
      <c r="B3" s="6" t="e">
        <f>VLOOKUP(B1,KerntakenEnWerkprocessen!B13:E27,4,FALSE)</f>
        <v>#N/A</v>
      </c>
    </row>
    <row r="4" spans="1:7" x14ac:dyDescent="0.35">
      <c r="A4" t="s">
        <v>32</v>
      </c>
      <c r="B4" s="6">
        <f>SUM(N:N)</f>
        <v>0</v>
      </c>
      <c r="C4" s="55" t="s">
        <v>66</v>
      </c>
      <c r="D4" s="54" t="b">
        <f>IF(SUM(O:O)&gt;0,TRUE,FALSE)</f>
        <v>0</v>
      </c>
    </row>
    <row r="5" spans="1:7" x14ac:dyDescent="0.35">
      <c r="A5" t="s">
        <v>31</v>
      </c>
      <c r="B5" s="6">
        <f>SUM(M:M)</f>
        <v>0</v>
      </c>
    </row>
    <row r="6" spans="1:7" x14ac:dyDescent="0.35">
      <c r="A6" t="s">
        <v>43</v>
      </c>
      <c r="B6" s="6">
        <f>COUNTIF(N:N,1)</f>
        <v>0</v>
      </c>
    </row>
    <row r="7" spans="1:7" x14ac:dyDescent="0.35">
      <c r="A7" t="s">
        <v>44</v>
      </c>
      <c r="B7" s="6">
        <f>COUNTIF(N:N,2)+COUNTIF(N:N,3)</f>
        <v>0</v>
      </c>
    </row>
    <row r="8" spans="1:7" x14ac:dyDescent="0.35">
      <c r="A8" t="s">
        <v>34</v>
      </c>
      <c r="B8" s="6">
        <f>0.5*B4</f>
        <v>0</v>
      </c>
    </row>
    <row r="10" spans="1:7" ht="36.75" customHeight="1" x14ac:dyDescent="0.7">
      <c r="B10" s="86" t="str">
        <f>CONCATENATE(kerntaakCode,": ",kerntaakNaam)</f>
        <v>B1-K1: Levert een bijdrage aan het ontwikkeltraject</v>
      </c>
      <c r="C10" s="86"/>
      <c r="D10" s="86"/>
      <c r="E10" s="86"/>
      <c r="F10" s="86"/>
      <c r="G10" s="86"/>
    </row>
    <row r="11" spans="1:7" ht="28.5" customHeight="1" x14ac:dyDescent="0.6">
      <c r="B11" s="87" t="e">
        <f>CONCATENATE(VLOOKUP(B1,werkprocessen,1,FALSE),": ",C1)</f>
        <v>#N/A</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2:7" ht="22.5" customHeight="1" x14ac:dyDescent="0.35">
      <c r="B17" s="17" t="s">
        <v>18</v>
      </c>
      <c r="C17" s="12"/>
      <c r="D17" s="10"/>
      <c r="E17" s="10"/>
      <c r="F17" s="10"/>
      <c r="G17" s="14"/>
    </row>
    <row r="18" spans="2:7" ht="22.5" customHeight="1" x14ac:dyDescent="0.35">
      <c r="B18" s="17" t="s">
        <v>19</v>
      </c>
      <c r="C18" s="12"/>
      <c r="D18" s="10"/>
      <c r="E18" s="10"/>
      <c r="F18" s="10"/>
      <c r="G18" s="14"/>
    </row>
    <row r="19" spans="2:7" ht="22.5" customHeight="1" x14ac:dyDescent="0.35">
      <c r="B19" s="17" t="s">
        <v>20</v>
      </c>
      <c r="C19" s="12"/>
      <c r="D19" s="10"/>
      <c r="E19" s="10"/>
      <c r="F19" s="10"/>
      <c r="G19" s="14"/>
    </row>
    <row r="20" spans="2:7" ht="23.25" customHeight="1" x14ac:dyDescent="0.3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workbookViewId="0">
      <selection activeCell="B40" sqref="B40"/>
    </sheetView>
  </sheetViews>
  <sheetFormatPr defaultRowHeight="14.5" x14ac:dyDescent="0.35"/>
  <cols>
    <col min="1" max="1" width="29.81640625" customWidth="1"/>
    <col min="2" max="2" width="28.26953125" customWidth="1"/>
    <col min="3" max="3" width="55.7265625" customWidth="1"/>
    <col min="4" max="5" width="16.453125" hidden="1" customWidth="1"/>
    <col min="6" max="6" width="53.54296875" hidden="1" customWidth="1"/>
    <col min="7" max="7" width="13.7265625" customWidth="1"/>
  </cols>
  <sheetData>
    <row r="1" spans="1:6" ht="36.75" customHeight="1" x14ac:dyDescent="0.35">
      <c r="A1" s="1" t="s">
        <v>0</v>
      </c>
    </row>
    <row r="2" spans="1:6" ht="187.5" hidden="1" customHeight="1" x14ac:dyDescent="0.35">
      <c r="A2" s="1"/>
      <c r="F2" s="20" t="str">
        <f>F27</f>
        <v xml:space="preserve">B1-K1-W1 Stelt de opdracht vast
B1-K1-W2 Levert een bijdrage aan het projectplan
B1-K1-W3 Levert een bijdrage aan het ontwerp
B1-K1-W4 Bereidt de realisatie voor 
</v>
      </c>
    </row>
    <row r="3" spans="1:6" x14ac:dyDescent="0.35">
      <c r="A3" s="43" t="s">
        <v>55</v>
      </c>
      <c r="B3" s="53">
        <v>42519</v>
      </c>
    </row>
    <row r="4" spans="1:6" x14ac:dyDescent="0.35">
      <c r="A4" s="43" t="s">
        <v>54</v>
      </c>
      <c r="B4" s="91" t="s">
        <v>254</v>
      </c>
      <c r="C4" s="91"/>
    </row>
    <row r="5" spans="1:6" ht="15" customHeight="1" x14ac:dyDescent="0.35">
      <c r="A5" s="34" t="s">
        <v>9</v>
      </c>
      <c r="B5" s="58" t="s">
        <v>69</v>
      </c>
      <c r="C5" s="58" t="s">
        <v>70</v>
      </c>
    </row>
    <row r="6" spans="1:6" x14ac:dyDescent="0.35">
      <c r="A6" t="s">
        <v>36</v>
      </c>
      <c r="B6" s="21"/>
      <c r="C6" s="45" t="s">
        <v>61</v>
      </c>
    </row>
    <row r="7" spans="1:6" x14ac:dyDescent="0.35">
      <c r="A7" t="s">
        <v>37</v>
      </c>
      <c r="B7" s="24" t="s">
        <v>41</v>
      </c>
      <c r="C7" s="24" t="s">
        <v>42</v>
      </c>
    </row>
    <row r="8" spans="1:6" x14ac:dyDescent="0.35">
      <c r="A8" t="s">
        <v>38</v>
      </c>
      <c r="B8" s="77" t="s">
        <v>248</v>
      </c>
      <c r="C8" s="45" t="s">
        <v>65</v>
      </c>
    </row>
    <row r="9" spans="1:6" ht="15" customHeight="1" x14ac:dyDescent="0.35">
      <c r="A9" s="47" t="s">
        <v>39</v>
      </c>
      <c r="B9" s="58" t="s">
        <v>71</v>
      </c>
      <c r="C9" s="58">
        <v>25187</v>
      </c>
    </row>
    <row r="12" spans="1:6" x14ac:dyDescent="0.35">
      <c r="A12" t="s">
        <v>10</v>
      </c>
      <c r="B12" s="3" t="s">
        <v>11</v>
      </c>
      <c r="C12" s="3" t="s">
        <v>12</v>
      </c>
      <c r="D12" s="4" t="s">
        <v>23</v>
      </c>
      <c r="E12" s="4" t="s">
        <v>24</v>
      </c>
      <c r="F12" s="4" t="s">
        <v>40</v>
      </c>
    </row>
    <row r="13" spans="1:6" x14ac:dyDescent="0.35">
      <c r="B13" s="58" t="s">
        <v>72</v>
      </c>
      <c r="C13" s="58" t="s">
        <v>76</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B1-K1-W1 Stelt de opdracht vast
</v>
      </c>
    </row>
    <row r="14" spans="1:6" x14ac:dyDescent="0.35">
      <c r="B14" s="58" t="s">
        <v>73</v>
      </c>
      <c r="C14" s="58" t="s">
        <v>77</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B1-K1-W1 Stelt de opdracht vast
B1-K1-W2 Levert een bijdrage aan het projectplan
</v>
      </c>
    </row>
    <row r="15" spans="1:6" x14ac:dyDescent="0.35">
      <c r="B15" s="58" t="s">
        <v>74</v>
      </c>
      <c r="C15" s="58" t="s">
        <v>78</v>
      </c>
      <c r="D15" s="5">
        <f t="array" ref="D15">MIN(IF(Beheersingsniveaus!$A$4:$A$154=KerntakenEnWerkprocessen!$B15,Beheersingsniveaus!$B$4:$B$154))</f>
        <v>3</v>
      </c>
      <c r="E15" s="5">
        <f t="array" ref="E15">MAX(IF(Beheersingsniveaus!$A$4:$A$154=KerntakenEnWerkprocessen!$B15,Beheersingsniveaus!$B$4:$B$154))</f>
        <v>4</v>
      </c>
      <c r="F15" s="5" t="str">
        <f t="shared" ref="F15:F22" si="0">F14&amp;B15&amp;" "&amp;C15&amp;CHAR(10)</f>
        <v xml:space="preserve">B1-K1-W1 Stelt de opdracht vast
B1-K1-W2 Levert een bijdrage aan het projectplan
B1-K1-W3 Levert een bijdrage aan het ontwerp
</v>
      </c>
    </row>
    <row r="16" spans="1:6" x14ac:dyDescent="0.35">
      <c r="B16" s="58" t="s">
        <v>75</v>
      </c>
      <c r="C16" s="58" t="s">
        <v>79</v>
      </c>
      <c r="D16" s="5">
        <f t="array" ref="D16">MIN(IF(Beheersingsniveaus!$A$4:$A$154=KerntakenEnWerkprocessen!$B16,Beheersingsniveaus!$B$4:$B$154))</f>
        <v>5</v>
      </c>
      <c r="E16" s="5">
        <f t="array" ref="E16">MAX(IF(Beheersingsniveaus!$A$4:$A$154=KerntakenEnWerkprocessen!$B16,Beheersingsniveaus!$B$4:$B$154))</f>
        <v>5</v>
      </c>
      <c r="F16" s="5" t="str">
        <f t="shared" si="0"/>
        <v xml:space="preserve">B1-K1-W1 Stelt de opdracht vast
B1-K1-W2 Levert een bijdrage aan het projectplan
B1-K1-W3 Levert een bijdrage aan het ontwerp
B1-K1-W4 Bereidt de realisatie voor 
</v>
      </c>
    </row>
    <row r="17" spans="1:6" x14ac:dyDescent="0.3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B1-K1-W1 Stelt de opdracht vast
B1-K1-W2 Levert een bijdrage aan het projectplan
B1-K1-W3 Levert een bijdrage aan het ontwerp
B1-K1-W4 Bereidt de realisatie voor 
</v>
      </c>
    </row>
    <row r="18" spans="1:6" x14ac:dyDescent="0.3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B1-K1-W1 Stelt de opdracht vast
B1-K1-W2 Levert een bijdrage aan het projectplan
B1-K1-W3 Levert een bijdrage aan het ontwerp
B1-K1-W4 Bereidt de realisatie voor 
</v>
      </c>
    </row>
    <row r="19" spans="1:6" x14ac:dyDescent="0.3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B1-K1-W1 Stelt de opdracht vast
B1-K1-W2 Levert een bijdrage aan het projectplan
B1-K1-W3 Levert een bijdrage aan het ontwerp
B1-K1-W4 Bereidt de realisatie voor 
</v>
      </c>
    </row>
    <row r="20" spans="1:6" x14ac:dyDescent="0.3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B1-K1-W1 Stelt de opdracht vast
B1-K1-W2 Levert een bijdrage aan het projectplan
B1-K1-W3 Levert een bijdrage aan het ontwerp
B1-K1-W4 Bereidt de realisatie voor 
</v>
      </c>
    </row>
    <row r="21" spans="1:6" x14ac:dyDescent="0.3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B1-K1-W1 Stelt de opdracht vast
B1-K1-W2 Levert een bijdrage aan het projectplan
B1-K1-W3 Levert een bijdrage aan het ontwerp
B1-K1-W4 Bereidt de realisatie voor 
</v>
      </c>
    </row>
    <row r="22" spans="1:6" x14ac:dyDescent="0.3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B1-K1-W1 Stelt de opdracht vast
B1-K1-W2 Levert een bijdrage aan het projectplan
B1-K1-W3 Levert een bijdrage aan het ontwerp
B1-K1-W4 Bereidt de realisatie voor 
</v>
      </c>
    </row>
    <row r="23" spans="1:6" x14ac:dyDescent="0.3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B1-K1-W1 Stelt de opdracht vast
B1-K1-W2 Levert een bijdrage aan het projectplan
B1-K1-W3 Levert een bijdrage aan het ontwerp
B1-K1-W4 Bereidt de realisatie voor 
</v>
      </c>
    </row>
    <row r="24" spans="1:6" x14ac:dyDescent="0.3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B1-K1-W1 Stelt de opdracht vast
B1-K1-W2 Levert een bijdrage aan het projectplan
B1-K1-W3 Levert een bijdrage aan het ontwerp
B1-K1-W4 Bereidt de realisatie voor 
</v>
      </c>
    </row>
    <row r="25" spans="1:6" x14ac:dyDescent="0.3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B1-K1-W1 Stelt de opdracht vast
B1-K1-W2 Levert een bijdrage aan het projectplan
B1-K1-W3 Levert een bijdrage aan het ontwerp
B1-K1-W4 Bereidt de realisatie voor 
</v>
      </c>
    </row>
    <row r="26" spans="1:6" x14ac:dyDescent="0.3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B1-K1-W1 Stelt de opdracht vast
B1-K1-W2 Levert een bijdrage aan het projectplan
B1-K1-W3 Levert een bijdrage aan het ontwerp
B1-K1-W4 Bereidt de realisatie voor 
</v>
      </c>
    </row>
    <row r="27" spans="1:6" x14ac:dyDescent="0.3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B1-K1-W1 Stelt de opdracht vast
B1-K1-W2 Levert een bijdrage aan het projectplan
B1-K1-W3 Levert een bijdrage aan het ontwerp
B1-K1-W4 Bereidt de realisatie voor 
</v>
      </c>
    </row>
    <row r="29" spans="1:6" x14ac:dyDescent="0.35">
      <c r="A29" s="47" t="s">
        <v>60</v>
      </c>
      <c r="D29" t="b">
        <v>0</v>
      </c>
    </row>
  </sheetData>
  <mergeCells count="1">
    <mergeCell ref="B4:C4"/>
  </mergeCells>
  <conditionalFormatting sqref="B13:B27">
    <cfRule type="duplicateValues" dxfId="30" priority="2"/>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25" activePane="bottomLeft" state="frozen"/>
      <selection activeCell="B35" sqref="B35"/>
      <selection pane="bottomLeft" activeCell="H25" sqref="H25"/>
    </sheetView>
  </sheetViews>
  <sheetFormatPr defaultRowHeight="14.5" x14ac:dyDescent="0.35"/>
  <cols>
    <col min="1" max="1" width="26.54296875" customWidth="1"/>
    <col min="2" max="2" width="18.54296875" customWidth="1"/>
    <col min="3" max="3" width="18.54296875" hidden="1" customWidth="1"/>
    <col min="4" max="4" width="19.54296875" hidden="1" customWidth="1"/>
    <col min="5" max="5" width="8.26953125" customWidth="1"/>
    <col min="6" max="6" width="17.26953125" customWidth="1"/>
    <col min="7" max="7" width="19.7265625" customWidth="1"/>
    <col min="8" max="10" width="21.7265625" customWidth="1"/>
    <col min="11" max="11" width="8.26953125" bestFit="1" customWidth="1"/>
  </cols>
  <sheetData>
    <row r="1" spans="1:11" ht="30" customHeight="1" x14ac:dyDescent="0.35">
      <c r="A1" s="1" t="s">
        <v>47</v>
      </c>
    </row>
    <row r="2" spans="1:11" ht="15" customHeight="1" x14ac:dyDescent="0.35">
      <c r="A2" s="1"/>
    </row>
    <row r="3" spans="1:11" x14ac:dyDescent="0.35">
      <c r="A3" s="3" t="s">
        <v>1</v>
      </c>
      <c r="B3" s="3" t="s">
        <v>2</v>
      </c>
      <c r="C3" s="7" t="s">
        <v>28</v>
      </c>
      <c r="D3" s="7" t="s">
        <v>29</v>
      </c>
      <c r="E3" s="3" t="s">
        <v>22</v>
      </c>
      <c r="F3" s="3" t="s">
        <v>3</v>
      </c>
      <c r="G3" s="3" t="s">
        <v>4</v>
      </c>
      <c r="H3" s="3" t="s">
        <v>5</v>
      </c>
      <c r="I3" s="3" t="s">
        <v>6</v>
      </c>
      <c r="J3" s="3" t="s">
        <v>7</v>
      </c>
      <c r="K3" s="3" t="s">
        <v>8</v>
      </c>
    </row>
    <row r="4" spans="1:11" ht="72.5" x14ac:dyDescent="0.35">
      <c r="A4" s="48" t="s">
        <v>72</v>
      </c>
      <c r="B4" s="49">
        <v>1</v>
      </c>
      <c r="C4" s="51" t="str">
        <f>IF(A4&lt;&gt;"",CONCATENATE(A4,"-",B4),"")</f>
        <v>B1-K1-W1-1</v>
      </c>
      <c r="D4" s="52" t="str">
        <f>IF(C4&lt;&gt;"",CONCATENATE(C4,"-","1"),"")</f>
        <v>B1-K1-W1-1-1</v>
      </c>
      <c r="E4" s="35" t="s">
        <v>80</v>
      </c>
      <c r="F4" s="35" t="s">
        <v>83</v>
      </c>
      <c r="G4" s="58" t="s">
        <v>85</v>
      </c>
      <c r="H4" s="58" t="s">
        <v>84</v>
      </c>
      <c r="I4" s="35"/>
      <c r="J4" s="35"/>
      <c r="K4" s="50"/>
    </row>
    <row r="5" spans="1:11" ht="232" x14ac:dyDescent="0.35">
      <c r="A5" s="48" t="s">
        <v>72</v>
      </c>
      <c r="B5" s="49">
        <v>1</v>
      </c>
      <c r="C5" s="51" t="str">
        <f t="shared" ref="C5:C68" si="0">IF(A5&lt;&gt;"",CONCATENATE(A5,"-",B5),"")</f>
        <v>B1-K1-W1-1</v>
      </c>
      <c r="D5" s="52" t="str">
        <f>IF(C5&lt;&gt;"",CONCATENATE(C5,"-",COUNTIF($C$4:C5,C5),""),"")</f>
        <v>B1-K1-W1-1-2</v>
      </c>
      <c r="E5" s="35" t="s">
        <v>80</v>
      </c>
      <c r="F5" s="35" t="s">
        <v>86</v>
      </c>
      <c r="G5" s="35" t="s">
        <v>89</v>
      </c>
      <c r="H5" s="35" t="s">
        <v>239</v>
      </c>
      <c r="I5" s="35" t="s">
        <v>87</v>
      </c>
      <c r="J5" s="58" t="s">
        <v>88</v>
      </c>
      <c r="K5" s="50"/>
    </row>
    <row r="6" spans="1:11" ht="159.5" x14ac:dyDescent="0.35">
      <c r="A6" s="48" t="s">
        <v>72</v>
      </c>
      <c r="B6" s="49">
        <v>1</v>
      </c>
      <c r="C6" s="51" t="str">
        <f t="shared" si="0"/>
        <v>B1-K1-W1-1</v>
      </c>
      <c r="D6" s="52" t="str">
        <f>IF(C6&lt;&gt;"",CONCATENATE(C6,"-",COUNTIF($C$4:C6,C6),""),"")</f>
        <v>B1-K1-W1-1-3</v>
      </c>
      <c r="E6" s="35" t="s">
        <v>80</v>
      </c>
      <c r="F6" s="35" t="s">
        <v>90</v>
      </c>
      <c r="G6" s="35" t="s">
        <v>91</v>
      </c>
      <c r="H6" s="35" t="s">
        <v>92</v>
      </c>
      <c r="I6" s="35" t="s">
        <v>94</v>
      </c>
      <c r="J6" s="35" t="s">
        <v>93</v>
      </c>
      <c r="K6" s="50"/>
    </row>
    <row r="7" spans="1:11" ht="174" x14ac:dyDescent="0.35">
      <c r="A7" s="48" t="s">
        <v>72</v>
      </c>
      <c r="B7" s="49">
        <v>1</v>
      </c>
      <c r="C7" s="51" t="str">
        <f t="shared" si="0"/>
        <v>B1-K1-W1-1</v>
      </c>
      <c r="D7" s="52" t="str">
        <f>IF(C7&lt;&gt;"",CONCATENATE(C7,"-",COUNTIF($C$4:C7,C7),""),"")</f>
        <v>B1-K1-W1-1-4</v>
      </c>
      <c r="E7" s="35" t="s">
        <v>81</v>
      </c>
      <c r="F7" s="35" t="s">
        <v>95</v>
      </c>
      <c r="G7" s="35" t="s">
        <v>96</v>
      </c>
      <c r="H7" s="35" t="s">
        <v>240</v>
      </c>
      <c r="I7" s="35" t="s">
        <v>98</v>
      </c>
      <c r="J7" s="35" t="s">
        <v>97</v>
      </c>
      <c r="K7" s="50" t="s">
        <v>14</v>
      </c>
    </row>
    <row r="8" spans="1:11" ht="159.5" x14ac:dyDescent="0.35">
      <c r="A8" s="48" t="s">
        <v>72</v>
      </c>
      <c r="B8" s="49">
        <v>1</v>
      </c>
      <c r="C8" s="51" t="str">
        <f t="shared" si="0"/>
        <v>B1-K1-W1-1</v>
      </c>
      <c r="D8" s="52" t="str">
        <f>IF(C8&lt;&gt;"",CONCATENATE(C8,"-",COUNTIF($C$4:C8,C8),""),"")</f>
        <v>B1-K1-W1-1-5</v>
      </c>
      <c r="E8" s="35" t="s">
        <v>81</v>
      </c>
      <c r="F8" s="35" t="s">
        <v>102</v>
      </c>
      <c r="G8" s="35" t="s">
        <v>103</v>
      </c>
      <c r="H8" s="35" t="s">
        <v>99</v>
      </c>
      <c r="I8" s="35" t="s">
        <v>100</v>
      </c>
      <c r="J8" s="35" t="s">
        <v>101</v>
      </c>
      <c r="K8" s="50"/>
    </row>
    <row r="9" spans="1:11" ht="159.5" x14ac:dyDescent="0.35">
      <c r="A9" s="48" t="s">
        <v>72</v>
      </c>
      <c r="B9" s="49">
        <v>1</v>
      </c>
      <c r="C9" s="51" t="str">
        <f t="shared" si="0"/>
        <v>B1-K1-W1-1</v>
      </c>
      <c r="D9" s="52" t="str">
        <f>IF(C9&lt;&gt;"",CONCATENATE(C9,"-",COUNTIF($C$4:C9,C9),""),"")</f>
        <v>B1-K1-W1-1-6</v>
      </c>
      <c r="E9" s="35" t="s">
        <v>81</v>
      </c>
      <c r="F9" s="35" t="s">
        <v>104</v>
      </c>
      <c r="G9" s="35" t="s">
        <v>105</v>
      </c>
      <c r="H9" s="35" t="s">
        <v>106</v>
      </c>
      <c r="I9" s="35" t="s">
        <v>107</v>
      </c>
      <c r="J9" s="35" t="s">
        <v>108</v>
      </c>
      <c r="K9" s="50"/>
    </row>
    <row r="10" spans="1:11" ht="116" x14ac:dyDescent="0.35">
      <c r="A10" s="48" t="s">
        <v>72</v>
      </c>
      <c r="B10" s="49">
        <v>1</v>
      </c>
      <c r="C10" s="51" t="str">
        <f t="shared" si="0"/>
        <v>B1-K1-W1-1</v>
      </c>
      <c r="D10" s="52" t="str">
        <f>IF(C10&lt;&gt;"",CONCATENATE(C10,"-",COUNTIF($C$4:C10,C10),""),"")</f>
        <v>B1-K1-W1-1-7</v>
      </c>
      <c r="E10" s="35" t="s">
        <v>82</v>
      </c>
      <c r="F10" s="35" t="s">
        <v>109</v>
      </c>
      <c r="G10" s="35" t="s">
        <v>110</v>
      </c>
      <c r="H10" s="35" t="s">
        <v>111</v>
      </c>
      <c r="I10" s="36"/>
      <c r="J10" s="36"/>
      <c r="K10" s="50"/>
    </row>
    <row r="11" spans="1:11" ht="72.5" x14ac:dyDescent="0.35">
      <c r="A11" s="48" t="s">
        <v>73</v>
      </c>
      <c r="B11" s="49">
        <v>2</v>
      </c>
      <c r="C11" s="51" t="str">
        <f t="shared" si="0"/>
        <v>B1-K1-W2-2</v>
      </c>
      <c r="D11" s="52" t="str">
        <f>IF(C11&lt;&gt;"",CONCATENATE(C11,"-",COUNTIF($C$4:C11,C11),""),"")</f>
        <v>B1-K1-W2-2-1</v>
      </c>
      <c r="E11" s="35" t="s">
        <v>112</v>
      </c>
      <c r="F11" s="35" t="s">
        <v>114</v>
      </c>
      <c r="G11" s="35" t="s">
        <v>115</v>
      </c>
      <c r="H11" s="35" t="s">
        <v>241</v>
      </c>
      <c r="I11" s="35" t="s">
        <v>242</v>
      </c>
      <c r="J11" s="35" t="s">
        <v>243</v>
      </c>
      <c r="K11" s="50"/>
    </row>
    <row r="12" spans="1:11" ht="217.5" x14ac:dyDescent="0.35">
      <c r="A12" s="48" t="s">
        <v>73</v>
      </c>
      <c r="B12" s="49">
        <v>2</v>
      </c>
      <c r="C12" s="51" t="str">
        <f t="shared" si="0"/>
        <v>B1-K1-W2-2</v>
      </c>
      <c r="D12" s="52" t="str">
        <f>IF(C12&lt;&gt;"",CONCATENATE(C12,"-",COUNTIF($C$4:C12,C12),""),"")</f>
        <v>B1-K1-W2-2-2</v>
      </c>
      <c r="E12" s="35" t="s">
        <v>112</v>
      </c>
      <c r="F12" s="35" t="s">
        <v>116</v>
      </c>
      <c r="G12" s="35" t="s">
        <v>117</v>
      </c>
      <c r="H12" s="35" t="s">
        <v>118</v>
      </c>
      <c r="I12" s="35" t="s">
        <v>120</v>
      </c>
      <c r="J12" s="35" t="s">
        <v>119</v>
      </c>
      <c r="K12" s="50"/>
    </row>
    <row r="13" spans="1:11" ht="87" x14ac:dyDescent="0.35">
      <c r="A13" s="48" t="s">
        <v>73</v>
      </c>
      <c r="B13" s="49">
        <v>2</v>
      </c>
      <c r="C13" s="51" t="str">
        <f t="shared" si="0"/>
        <v>B1-K1-W2-2</v>
      </c>
      <c r="D13" s="52" t="str">
        <f>IF(C13&lt;&gt;"",CONCATENATE(C13,"-",COUNTIF($C$4:C13,C13),""),"")</f>
        <v>B1-K1-W2-2-3</v>
      </c>
      <c r="E13" s="35" t="s">
        <v>112</v>
      </c>
      <c r="F13" s="35" t="s">
        <v>121</v>
      </c>
      <c r="G13" s="35" t="s">
        <v>244</v>
      </c>
      <c r="H13" s="35" t="s">
        <v>245</v>
      </c>
      <c r="I13" s="35" t="s">
        <v>246</v>
      </c>
      <c r="J13" s="35" t="s">
        <v>247</v>
      </c>
      <c r="K13" s="50"/>
    </row>
    <row r="14" spans="1:11" ht="116" x14ac:dyDescent="0.35">
      <c r="A14" s="48" t="s">
        <v>73</v>
      </c>
      <c r="B14" s="49">
        <v>2</v>
      </c>
      <c r="C14" s="51" t="str">
        <f t="shared" si="0"/>
        <v>B1-K1-W2-2</v>
      </c>
      <c r="D14" s="52" t="str">
        <f>IF(C14&lt;&gt;"",CONCATENATE(C14,"-",COUNTIF($C$4:C14,C14),""),"")</f>
        <v>B1-K1-W2-2-4</v>
      </c>
      <c r="E14" s="35" t="s">
        <v>113</v>
      </c>
      <c r="F14" s="35" t="s">
        <v>122</v>
      </c>
      <c r="G14" s="35" t="s">
        <v>124</v>
      </c>
      <c r="H14" s="35" t="s">
        <v>123</v>
      </c>
      <c r="I14" s="36"/>
      <c r="J14" s="36"/>
      <c r="K14" s="50"/>
    </row>
    <row r="15" spans="1:11" ht="304.5" x14ac:dyDescent="0.35">
      <c r="A15" s="48" t="s">
        <v>74</v>
      </c>
      <c r="B15" s="49">
        <v>3</v>
      </c>
      <c r="C15" s="51" t="str">
        <f t="shared" si="0"/>
        <v>B1-K1-W3-3</v>
      </c>
      <c r="D15" s="52" t="str">
        <f>IF(C15&lt;&gt;"",CONCATENATE(C15,"-",COUNTIF($C$4:C15,C15),""),"")</f>
        <v>B1-K1-W3-3-1</v>
      </c>
      <c r="E15" s="35" t="s">
        <v>80</v>
      </c>
      <c r="F15" s="35" t="s">
        <v>129</v>
      </c>
      <c r="G15" s="35" t="s">
        <v>133</v>
      </c>
      <c r="H15" s="35" t="s">
        <v>130</v>
      </c>
      <c r="I15" s="35" t="s">
        <v>131</v>
      </c>
      <c r="J15" s="35" t="s">
        <v>132</v>
      </c>
      <c r="K15" s="50" t="s">
        <v>14</v>
      </c>
    </row>
    <row r="16" spans="1:11" ht="145" x14ac:dyDescent="0.35">
      <c r="A16" s="48" t="s">
        <v>74</v>
      </c>
      <c r="B16" s="49">
        <v>3</v>
      </c>
      <c r="C16" s="51" t="str">
        <f t="shared" si="0"/>
        <v>B1-K1-W3-3</v>
      </c>
      <c r="D16" s="52" t="str">
        <f>IF(C16&lt;&gt;"",CONCATENATE(C16,"-",COUNTIF($C$4:C16,C16),""),"")</f>
        <v>B1-K1-W3-3-2</v>
      </c>
      <c r="E16" s="35" t="s">
        <v>125</v>
      </c>
      <c r="F16" s="35" t="s">
        <v>134</v>
      </c>
      <c r="G16" s="35" t="s">
        <v>135</v>
      </c>
      <c r="H16" s="35" t="s">
        <v>138</v>
      </c>
      <c r="I16" s="35" t="s">
        <v>136</v>
      </c>
      <c r="J16" s="35" t="s">
        <v>137</v>
      </c>
      <c r="K16" s="50"/>
    </row>
    <row r="17" spans="1:11" ht="348" x14ac:dyDescent="0.35">
      <c r="A17" s="48" t="s">
        <v>74</v>
      </c>
      <c r="B17" s="49">
        <v>3</v>
      </c>
      <c r="C17" s="51" t="str">
        <f t="shared" si="0"/>
        <v>B1-K1-W3-3</v>
      </c>
      <c r="D17" s="52" t="str">
        <f>IF(C17&lt;&gt;"",CONCATENATE(C17,"-",COUNTIF($C$4:C17,C17),""),"")</f>
        <v>B1-K1-W3-3-3</v>
      </c>
      <c r="E17" s="35" t="s">
        <v>126</v>
      </c>
      <c r="F17" s="35" t="s">
        <v>139</v>
      </c>
      <c r="G17" s="35" t="s">
        <v>140</v>
      </c>
      <c r="H17" s="35" t="s">
        <v>143</v>
      </c>
      <c r="I17" s="35" t="s">
        <v>141</v>
      </c>
      <c r="J17" s="35" t="s">
        <v>142</v>
      </c>
      <c r="K17" s="50"/>
    </row>
    <row r="18" spans="1:11" ht="232" x14ac:dyDescent="0.35">
      <c r="A18" s="48" t="s">
        <v>74</v>
      </c>
      <c r="B18" s="49">
        <v>3</v>
      </c>
      <c r="C18" s="51" t="str">
        <f t="shared" si="0"/>
        <v>B1-K1-W3-3</v>
      </c>
      <c r="D18" s="52" t="str">
        <f>IF(C18&lt;&gt;"",CONCATENATE(C18,"-",COUNTIF($C$4:C18,C18),""),"")</f>
        <v>B1-K1-W3-3-4</v>
      </c>
      <c r="E18" s="35" t="s">
        <v>113</v>
      </c>
      <c r="F18" s="35" t="s">
        <v>144</v>
      </c>
      <c r="G18" s="35" t="s">
        <v>148</v>
      </c>
      <c r="H18" s="35" t="s">
        <v>145</v>
      </c>
      <c r="I18" s="35" t="s">
        <v>146</v>
      </c>
      <c r="J18" s="35" t="s">
        <v>147</v>
      </c>
      <c r="K18" s="50" t="s">
        <v>14</v>
      </c>
    </row>
    <row r="19" spans="1:11" ht="290" x14ac:dyDescent="0.35">
      <c r="A19" s="48" t="s">
        <v>74</v>
      </c>
      <c r="B19" s="49">
        <v>4</v>
      </c>
      <c r="C19" s="51" t="str">
        <f t="shared" si="0"/>
        <v>B1-K1-W3-4</v>
      </c>
      <c r="D19" s="52" t="str">
        <f>IF(C19&lt;&gt;"",CONCATENATE(C19,"-",COUNTIF($C$4:C19,C19),""),"")</f>
        <v>B1-K1-W3-4-1</v>
      </c>
      <c r="E19" s="35" t="s">
        <v>127</v>
      </c>
      <c r="F19" s="35" t="s">
        <v>149</v>
      </c>
      <c r="G19" s="35" t="s">
        <v>150</v>
      </c>
      <c r="H19" s="35" t="s">
        <v>151</v>
      </c>
      <c r="I19" s="35" t="s">
        <v>152</v>
      </c>
      <c r="J19" s="35" t="s">
        <v>153</v>
      </c>
      <c r="K19" s="50"/>
    </row>
    <row r="20" spans="1:11" ht="290" x14ac:dyDescent="0.35">
      <c r="A20" s="48" t="s">
        <v>74</v>
      </c>
      <c r="B20" s="49">
        <v>4</v>
      </c>
      <c r="C20" s="51" t="str">
        <f t="shared" si="0"/>
        <v>B1-K1-W3-4</v>
      </c>
      <c r="D20" s="52" t="str">
        <f>IF(C20&lt;&gt;"",CONCATENATE(C20,"-",COUNTIF($C$4:C20,C20),""),"")</f>
        <v>B1-K1-W3-4-2</v>
      </c>
      <c r="E20" s="35" t="s">
        <v>82</v>
      </c>
      <c r="F20" s="35" t="s">
        <v>154</v>
      </c>
      <c r="G20" s="35" t="s">
        <v>249</v>
      </c>
      <c r="H20" s="35" t="s">
        <v>250</v>
      </c>
      <c r="I20" s="35" t="s">
        <v>251</v>
      </c>
      <c r="J20" s="35" t="s">
        <v>252</v>
      </c>
      <c r="K20" s="50" t="s">
        <v>14</v>
      </c>
    </row>
    <row r="21" spans="1:11" ht="116" x14ac:dyDescent="0.35">
      <c r="A21" s="48" t="s">
        <v>74</v>
      </c>
      <c r="B21" s="49">
        <v>4</v>
      </c>
      <c r="C21" s="51" t="str">
        <f t="shared" si="0"/>
        <v>B1-K1-W3-4</v>
      </c>
      <c r="D21" s="52" t="str">
        <f>IF(C21&lt;&gt;"",CONCATENATE(C21,"-",COUNTIF($C$4:C21,C21),""),"")</f>
        <v>B1-K1-W3-4-3</v>
      </c>
      <c r="E21" s="35" t="s">
        <v>128</v>
      </c>
      <c r="F21" s="35" t="s">
        <v>157</v>
      </c>
      <c r="G21" s="35" t="s">
        <v>155</v>
      </c>
      <c r="H21" s="35" t="s">
        <v>156</v>
      </c>
      <c r="I21" s="35"/>
      <c r="J21" s="35"/>
      <c r="K21" s="50"/>
    </row>
    <row r="22" spans="1:11" ht="174" x14ac:dyDescent="0.35">
      <c r="A22" s="48" t="s">
        <v>75</v>
      </c>
      <c r="B22" s="49">
        <v>5</v>
      </c>
      <c r="C22" s="51" t="str">
        <f t="shared" si="0"/>
        <v>B1-K1-W4-5</v>
      </c>
      <c r="D22" s="52" t="str">
        <f>IF(C22&lt;&gt;"",CONCATENATE(C22,"-",COUNTIF($C$4:C22,C22),""),"")</f>
        <v>B1-K1-W4-5-1</v>
      </c>
      <c r="E22" s="35" t="s">
        <v>158</v>
      </c>
      <c r="F22" s="35" t="s">
        <v>160</v>
      </c>
      <c r="G22" s="35" t="s">
        <v>161</v>
      </c>
      <c r="H22" s="35" t="s">
        <v>164</v>
      </c>
      <c r="I22" s="35" t="s">
        <v>162</v>
      </c>
      <c r="J22" s="35" t="s">
        <v>163</v>
      </c>
      <c r="K22" s="28"/>
    </row>
    <row r="23" spans="1:11" ht="72.5" x14ac:dyDescent="0.35">
      <c r="A23" s="48" t="s">
        <v>75</v>
      </c>
      <c r="B23" s="49">
        <v>5</v>
      </c>
      <c r="C23" s="51" t="str">
        <f t="shared" si="0"/>
        <v>B1-K1-W4-5</v>
      </c>
      <c r="D23" s="52" t="str">
        <f>IF(C23&lt;&gt;"",CONCATENATE(C23,"-",COUNTIF($C$4:C23,C23),""),"")</f>
        <v>B1-K1-W4-5-2</v>
      </c>
      <c r="E23" s="35" t="s">
        <v>159</v>
      </c>
      <c r="F23" s="35" t="s">
        <v>165</v>
      </c>
      <c r="G23" s="35" t="s">
        <v>167</v>
      </c>
      <c r="H23" s="35" t="s">
        <v>166</v>
      </c>
      <c r="I23" s="36"/>
      <c r="J23" s="36"/>
      <c r="K23" s="28"/>
    </row>
    <row r="24" spans="1:11" ht="43.5" x14ac:dyDescent="0.35">
      <c r="A24" s="48" t="s">
        <v>75</v>
      </c>
      <c r="B24" s="49">
        <v>5</v>
      </c>
      <c r="C24" s="51" t="str">
        <f t="shared" si="0"/>
        <v>B1-K1-W4-5</v>
      </c>
      <c r="D24" s="52" t="str">
        <f>IF(C24&lt;&gt;"",CONCATENATE(C24,"-",COUNTIF($C$4:C24,C24),""),"")</f>
        <v>B1-K1-W4-5-3</v>
      </c>
      <c r="E24" s="35" t="s">
        <v>125</v>
      </c>
      <c r="F24" s="35" t="s">
        <v>168</v>
      </c>
      <c r="G24" s="35" t="s">
        <v>170</v>
      </c>
      <c r="H24" s="35" t="s">
        <v>169</v>
      </c>
      <c r="I24" s="36"/>
      <c r="J24" s="36"/>
      <c r="K24" s="50" t="s">
        <v>14</v>
      </c>
    </row>
    <row r="25" spans="1:11" ht="72.5" x14ac:dyDescent="0.35">
      <c r="A25" s="48" t="s">
        <v>75</v>
      </c>
      <c r="B25" s="49">
        <v>5</v>
      </c>
      <c r="C25" s="51" t="str">
        <f t="shared" si="0"/>
        <v>B1-K1-W4-5</v>
      </c>
      <c r="D25" s="52" t="str">
        <f>IF(C25&lt;&gt;"",CONCATENATE(C25,"-",COUNTIF($C$4:C25,C25),""),"")</f>
        <v>B1-K1-W4-5-4</v>
      </c>
      <c r="E25" s="35" t="s">
        <v>126</v>
      </c>
      <c r="F25" s="35" t="s">
        <v>171</v>
      </c>
      <c r="G25" s="35" t="s">
        <v>172</v>
      </c>
      <c r="H25" s="35" t="s">
        <v>253</v>
      </c>
      <c r="I25" s="36"/>
      <c r="J25" s="36"/>
      <c r="K25" s="28"/>
    </row>
    <row r="26" spans="1:11" ht="293.25" customHeight="1" x14ac:dyDescent="0.35">
      <c r="A26" s="25"/>
      <c r="B26" s="26"/>
      <c r="C26" s="51" t="str">
        <f t="shared" si="0"/>
        <v/>
      </c>
      <c r="D26" s="52" t="str">
        <f>IF(C26&lt;&gt;"",CONCATENATE(C26,"-",COUNTIF($C$4:C26,C26),""),"")</f>
        <v/>
      </c>
      <c r="E26" s="27"/>
      <c r="F26" s="27"/>
      <c r="G26" s="36"/>
      <c r="H26" s="36"/>
      <c r="I26" s="36"/>
      <c r="J26" s="36"/>
      <c r="K26" s="28"/>
    </row>
    <row r="27" spans="1:11" ht="293.25" customHeight="1" x14ac:dyDescent="0.35">
      <c r="A27" s="25"/>
      <c r="B27" s="26"/>
      <c r="C27" s="51" t="str">
        <f t="shared" si="0"/>
        <v/>
      </c>
      <c r="D27" s="52" t="str">
        <f>IF(C27&lt;&gt;"",CONCATENATE(C27,"-",COUNTIF($C$4:C27,C27),""),"")</f>
        <v/>
      </c>
      <c r="E27" s="27"/>
      <c r="F27" s="27"/>
      <c r="G27" s="36"/>
      <c r="H27" s="36"/>
      <c r="I27" s="36"/>
      <c r="J27" s="36"/>
      <c r="K27" s="28"/>
    </row>
    <row r="28" spans="1:11" ht="293.25" customHeight="1" x14ac:dyDescent="0.35">
      <c r="A28" s="25"/>
      <c r="B28" s="26"/>
      <c r="C28" s="51" t="str">
        <f t="shared" si="0"/>
        <v/>
      </c>
      <c r="D28" s="52" t="str">
        <f>IF(C28&lt;&gt;"",CONCATENATE(C28,"-",COUNTIF($C$4:C28,C28),""),"")</f>
        <v/>
      </c>
      <c r="E28" s="27"/>
      <c r="F28" s="27"/>
      <c r="G28" s="36"/>
      <c r="H28" s="36"/>
      <c r="I28" s="36"/>
      <c r="J28" s="36"/>
      <c r="K28" s="28"/>
    </row>
    <row r="29" spans="1:11" ht="293.25" customHeight="1" x14ac:dyDescent="0.35">
      <c r="A29" s="25"/>
      <c r="B29" s="26"/>
      <c r="C29" s="51" t="str">
        <f t="shared" si="0"/>
        <v/>
      </c>
      <c r="D29" s="52" t="str">
        <f>IF(C29&lt;&gt;"",CONCATENATE(C29,"-",COUNTIF($C$4:C29,C29),""),"")</f>
        <v/>
      </c>
      <c r="E29" s="27"/>
      <c r="F29" s="27"/>
      <c r="G29" s="36"/>
      <c r="H29" s="36"/>
      <c r="I29" s="36"/>
      <c r="J29" s="36"/>
      <c r="K29" s="28"/>
    </row>
    <row r="30" spans="1:11" ht="293.25" customHeight="1" x14ac:dyDescent="0.35">
      <c r="A30" s="25"/>
      <c r="B30" s="26"/>
      <c r="C30" s="51" t="str">
        <f t="shared" si="0"/>
        <v/>
      </c>
      <c r="D30" s="52" t="str">
        <f>IF(C30&lt;&gt;"",CONCATENATE(C30,"-",COUNTIF($C$4:C30,C30),""),"")</f>
        <v/>
      </c>
      <c r="E30" s="27"/>
      <c r="F30" s="27"/>
      <c r="G30" s="36"/>
      <c r="H30" s="36"/>
      <c r="I30" s="36"/>
      <c r="J30" s="36"/>
      <c r="K30" s="28"/>
    </row>
    <row r="31" spans="1:11" ht="293.25" customHeight="1" x14ac:dyDescent="0.35">
      <c r="A31" s="25"/>
      <c r="B31" s="26"/>
      <c r="C31" s="51" t="str">
        <f t="shared" si="0"/>
        <v/>
      </c>
      <c r="D31" s="52" t="str">
        <f>IF(C31&lt;&gt;"",CONCATENATE(C31,"-",COUNTIF($C$4:C31,C31),""),"")</f>
        <v/>
      </c>
      <c r="E31" s="27"/>
      <c r="F31" s="27"/>
      <c r="G31" s="36"/>
      <c r="H31" s="36"/>
      <c r="I31" s="36"/>
      <c r="J31" s="36"/>
      <c r="K31" s="28"/>
    </row>
    <row r="32" spans="1:11" ht="293.25" customHeight="1" x14ac:dyDescent="0.35">
      <c r="A32" s="25"/>
      <c r="B32" s="26"/>
      <c r="C32" s="51" t="str">
        <f t="shared" si="0"/>
        <v/>
      </c>
      <c r="D32" s="52" t="str">
        <f>IF(C32&lt;&gt;"",CONCATENATE(C32,"-",COUNTIF($C$4:C32,C32),""),"")</f>
        <v/>
      </c>
      <c r="E32" s="27"/>
      <c r="F32" s="27"/>
      <c r="G32" s="36"/>
      <c r="H32" s="36"/>
      <c r="I32" s="36"/>
      <c r="J32" s="36"/>
      <c r="K32" s="28"/>
    </row>
    <row r="33" spans="1:11" ht="293.25" customHeight="1" x14ac:dyDescent="0.35">
      <c r="A33" s="25"/>
      <c r="B33" s="26"/>
      <c r="C33" s="51" t="str">
        <f t="shared" si="0"/>
        <v/>
      </c>
      <c r="D33" s="52" t="str">
        <f>IF(C33&lt;&gt;"",CONCATENATE(C33,"-",COUNTIF($C$4:C33,C33),""),"")</f>
        <v/>
      </c>
      <c r="E33" s="27"/>
      <c r="F33" s="27"/>
      <c r="G33" s="36"/>
      <c r="H33" s="36"/>
      <c r="I33" s="36"/>
      <c r="J33" s="36"/>
      <c r="K33" s="28"/>
    </row>
    <row r="34" spans="1:11" ht="293.25" customHeight="1" x14ac:dyDescent="0.35">
      <c r="A34" s="25"/>
      <c r="B34" s="26"/>
      <c r="C34" s="51" t="str">
        <f t="shared" si="0"/>
        <v/>
      </c>
      <c r="D34" s="52" t="str">
        <f>IF(C34&lt;&gt;"",CONCATENATE(C34,"-",COUNTIF($C$4:C34,C34),""),"")</f>
        <v/>
      </c>
      <c r="E34" s="27"/>
      <c r="F34" s="27"/>
      <c r="G34" s="36"/>
      <c r="H34" s="36"/>
      <c r="I34" s="36"/>
      <c r="J34" s="36"/>
      <c r="K34" s="28"/>
    </row>
    <row r="35" spans="1:11" ht="293.25" customHeight="1" x14ac:dyDescent="0.35">
      <c r="A35" s="25"/>
      <c r="B35" s="26"/>
      <c r="C35" s="51" t="str">
        <f t="shared" si="0"/>
        <v/>
      </c>
      <c r="D35" s="52" t="str">
        <f>IF(C35&lt;&gt;"",CONCATENATE(C35,"-",COUNTIF($C$4:C35,C35),""),"")</f>
        <v/>
      </c>
      <c r="E35" s="27"/>
      <c r="F35" s="27"/>
      <c r="G35" s="36"/>
      <c r="H35" s="36"/>
      <c r="I35" s="36"/>
      <c r="J35" s="36"/>
      <c r="K35" s="28"/>
    </row>
    <row r="36" spans="1:11" ht="293.25" customHeight="1" x14ac:dyDescent="0.35">
      <c r="A36" s="25"/>
      <c r="B36" s="26"/>
      <c r="C36" s="51" t="str">
        <f t="shared" si="0"/>
        <v/>
      </c>
      <c r="D36" s="52" t="str">
        <f>IF(C36&lt;&gt;"",CONCATENATE(C36,"-",COUNTIF($C$4:C36,C36),""),"")</f>
        <v/>
      </c>
      <c r="E36" s="27"/>
      <c r="F36" s="27"/>
      <c r="G36" s="36"/>
      <c r="H36" s="36"/>
      <c r="I36" s="36"/>
      <c r="J36" s="36"/>
      <c r="K36" s="28"/>
    </row>
    <row r="37" spans="1:11" ht="293.25" customHeight="1" x14ac:dyDescent="0.35">
      <c r="A37" s="48"/>
      <c r="B37" s="49"/>
      <c r="C37" s="51" t="str">
        <f t="shared" si="0"/>
        <v/>
      </c>
      <c r="D37" s="52" t="str">
        <f>IF(C37&lt;&gt;"",CONCATENATE(C37,"-",COUNTIF($C$4:C37,C37),""),"")</f>
        <v/>
      </c>
      <c r="E37" s="35"/>
      <c r="F37" s="35"/>
      <c r="G37" s="35"/>
      <c r="H37" s="35"/>
      <c r="I37" s="36"/>
      <c r="J37" s="36"/>
      <c r="K37" s="50"/>
    </row>
    <row r="38" spans="1:11" ht="293.25" customHeight="1" x14ac:dyDescent="0.35">
      <c r="A38" s="25"/>
      <c r="B38" s="26"/>
      <c r="C38" s="51" t="str">
        <f t="shared" si="0"/>
        <v/>
      </c>
      <c r="D38" s="52" t="str">
        <f>IF(C38&lt;&gt;"",CONCATENATE(C38,"-",COUNTIF($C$4:C38,C38),""),"")</f>
        <v/>
      </c>
      <c r="E38" s="27"/>
      <c r="F38" s="27"/>
      <c r="G38" s="36"/>
      <c r="H38" s="36"/>
      <c r="I38" s="36"/>
      <c r="J38" s="36"/>
      <c r="K38" s="28"/>
    </row>
    <row r="39" spans="1:11" ht="293.25" customHeight="1" x14ac:dyDescent="0.35">
      <c r="A39" s="25"/>
      <c r="B39" s="26"/>
      <c r="C39" s="51" t="str">
        <f t="shared" si="0"/>
        <v/>
      </c>
      <c r="D39" s="52" t="str">
        <f>IF(C39&lt;&gt;"",CONCATENATE(C39,"-",COUNTIF($C$4:C39,C39),""),"")</f>
        <v/>
      </c>
      <c r="E39" s="27"/>
      <c r="F39" s="27"/>
      <c r="G39" s="36"/>
      <c r="H39" s="36"/>
      <c r="I39" s="36"/>
      <c r="J39" s="36"/>
      <c r="K39" s="28"/>
    </row>
    <row r="40" spans="1:11" ht="293.25" customHeight="1" x14ac:dyDescent="0.35">
      <c r="A40" s="25"/>
      <c r="B40" s="26"/>
      <c r="C40" s="51" t="str">
        <f t="shared" si="0"/>
        <v/>
      </c>
      <c r="D40" s="52" t="str">
        <f>IF(C40&lt;&gt;"",CONCATENATE(C40,"-",COUNTIF($C$4:C40,C40),""),"")</f>
        <v/>
      </c>
      <c r="E40" s="27"/>
      <c r="F40" s="27"/>
      <c r="G40" s="36"/>
      <c r="H40" s="36"/>
      <c r="I40" s="36"/>
      <c r="J40" s="36"/>
      <c r="K40" s="28"/>
    </row>
    <row r="41" spans="1:11" ht="293.25" customHeight="1" x14ac:dyDescent="0.35">
      <c r="A41" s="25"/>
      <c r="B41" s="26"/>
      <c r="C41" s="51" t="str">
        <f t="shared" si="0"/>
        <v/>
      </c>
      <c r="D41" s="52" t="str">
        <f>IF(C41&lt;&gt;"",CONCATENATE(C41,"-",COUNTIF($C$4:C41,C41),""),"")</f>
        <v/>
      </c>
      <c r="E41" s="27"/>
      <c r="F41" s="27"/>
      <c r="G41" s="36"/>
      <c r="H41" s="36"/>
      <c r="I41" s="36"/>
      <c r="J41" s="36"/>
      <c r="K41" s="28"/>
    </row>
    <row r="42" spans="1:11" ht="293.25" customHeight="1" x14ac:dyDescent="0.35">
      <c r="A42" s="25"/>
      <c r="B42" s="26"/>
      <c r="C42" s="51" t="str">
        <f t="shared" si="0"/>
        <v/>
      </c>
      <c r="D42" s="52" t="str">
        <f>IF(C42&lt;&gt;"",CONCATENATE(C42,"-",COUNTIF($C$4:C42,C42),""),"")</f>
        <v/>
      </c>
      <c r="E42" s="27"/>
      <c r="F42" s="27"/>
      <c r="G42" s="36"/>
      <c r="H42" s="36"/>
      <c r="I42" s="36"/>
      <c r="J42" s="36"/>
      <c r="K42" s="28"/>
    </row>
    <row r="43" spans="1:11" ht="293.25" customHeight="1" x14ac:dyDescent="0.35">
      <c r="A43" s="25"/>
      <c r="B43" s="26"/>
      <c r="C43" s="51" t="str">
        <f t="shared" si="0"/>
        <v/>
      </c>
      <c r="D43" s="52" t="str">
        <f>IF(C43&lt;&gt;"",CONCATENATE(C43,"-",COUNTIF($C$4:C43,C43),""),"")</f>
        <v/>
      </c>
      <c r="E43" s="27"/>
      <c r="F43" s="27"/>
      <c r="G43" s="36"/>
      <c r="H43" s="36"/>
      <c r="I43" s="36"/>
      <c r="J43" s="36"/>
      <c r="K43" s="28"/>
    </row>
    <row r="44" spans="1:11" ht="293.25" customHeight="1" x14ac:dyDescent="0.35">
      <c r="A44" s="25"/>
      <c r="B44" s="26"/>
      <c r="C44" s="51" t="str">
        <f t="shared" si="0"/>
        <v/>
      </c>
      <c r="D44" s="52" t="str">
        <f>IF(C44&lt;&gt;"",CONCATENATE(C44,"-",COUNTIF($C$4:C44,C44),""),"")</f>
        <v/>
      </c>
      <c r="E44" s="27"/>
      <c r="F44" s="27"/>
      <c r="G44" s="36"/>
      <c r="H44" s="36"/>
      <c r="I44" s="36"/>
      <c r="J44" s="36"/>
      <c r="K44" s="28"/>
    </row>
    <row r="45" spans="1:11" ht="293.25" customHeight="1" x14ac:dyDescent="0.35">
      <c r="A45" s="25"/>
      <c r="B45" s="26"/>
      <c r="C45" s="51" t="str">
        <f t="shared" si="0"/>
        <v/>
      </c>
      <c r="D45" s="52" t="str">
        <f>IF(C45&lt;&gt;"",CONCATENATE(C45,"-",COUNTIF($C$4:C45,C45),""),"")</f>
        <v/>
      </c>
      <c r="E45" s="27"/>
      <c r="F45" s="27"/>
      <c r="G45" s="36"/>
      <c r="H45" s="36"/>
      <c r="I45" s="36"/>
      <c r="J45" s="36"/>
      <c r="K45" s="28"/>
    </row>
    <row r="46" spans="1:11" ht="293.25" customHeight="1" x14ac:dyDescent="0.35">
      <c r="A46" s="25"/>
      <c r="B46" s="26"/>
      <c r="C46" s="51" t="str">
        <f t="shared" si="0"/>
        <v/>
      </c>
      <c r="D46" s="52" t="str">
        <f>IF(C46&lt;&gt;"",CONCATENATE(C46,"-",COUNTIF($C$4:C46,C46),""),"")</f>
        <v/>
      </c>
      <c r="E46" s="27"/>
      <c r="F46" s="27"/>
      <c r="G46" s="36"/>
      <c r="H46" s="36"/>
      <c r="I46" s="36"/>
      <c r="J46" s="36"/>
      <c r="K46" s="28"/>
    </row>
    <row r="47" spans="1:11" ht="293.25" customHeight="1" x14ac:dyDescent="0.35">
      <c r="A47" s="25"/>
      <c r="B47" s="26"/>
      <c r="C47" s="51" t="str">
        <f t="shared" si="0"/>
        <v/>
      </c>
      <c r="D47" s="52" t="str">
        <f>IF(C47&lt;&gt;"",CONCATENATE(C47,"-",COUNTIF($C$4:C47,C47),""),"")</f>
        <v/>
      </c>
      <c r="E47" s="27"/>
      <c r="F47" s="27"/>
      <c r="G47" s="36"/>
      <c r="H47" s="36"/>
      <c r="I47" s="36"/>
      <c r="J47" s="36"/>
      <c r="K47" s="28"/>
    </row>
    <row r="48" spans="1:11" ht="293.25" customHeight="1" x14ac:dyDescent="0.35">
      <c r="A48" s="25"/>
      <c r="B48" s="26"/>
      <c r="C48" s="51" t="str">
        <f t="shared" si="0"/>
        <v/>
      </c>
      <c r="D48" s="52" t="str">
        <f>IF(C48&lt;&gt;"",CONCATENATE(C48,"-",COUNTIF($C$4:C48,C48),""),"")</f>
        <v/>
      </c>
      <c r="E48" s="27"/>
      <c r="F48" s="27"/>
      <c r="G48" s="36"/>
      <c r="H48" s="36"/>
      <c r="I48" s="36"/>
      <c r="J48" s="36"/>
      <c r="K48" s="28"/>
    </row>
    <row r="49" spans="1:11" ht="293.25" customHeight="1" x14ac:dyDescent="0.35">
      <c r="A49" s="25"/>
      <c r="B49" s="26"/>
      <c r="C49" s="51" t="str">
        <f t="shared" si="0"/>
        <v/>
      </c>
      <c r="D49" s="52" t="str">
        <f>IF(C49&lt;&gt;"",CONCATENATE(C49,"-",COUNTIF($C$4:C49,C49),""),"")</f>
        <v/>
      </c>
      <c r="E49" s="27"/>
      <c r="F49" s="27"/>
      <c r="G49" s="36"/>
      <c r="H49" s="36"/>
      <c r="I49" s="36"/>
      <c r="J49" s="36"/>
      <c r="K49" s="28"/>
    </row>
    <row r="50" spans="1:11" ht="293.25" customHeight="1" x14ac:dyDescent="0.35">
      <c r="A50" s="25"/>
      <c r="B50" s="26"/>
      <c r="C50" s="51" t="str">
        <f t="shared" si="0"/>
        <v/>
      </c>
      <c r="D50" s="52" t="str">
        <f>IF(C50&lt;&gt;"",CONCATENATE(C50,"-",COUNTIF($C$4:C50,C50),""),"")</f>
        <v/>
      </c>
      <c r="E50" s="27"/>
      <c r="F50" s="27"/>
      <c r="G50" s="36"/>
      <c r="H50" s="36"/>
      <c r="I50" s="36"/>
      <c r="J50" s="36"/>
      <c r="K50" s="28"/>
    </row>
    <row r="51" spans="1:11" ht="293.25" customHeight="1" x14ac:dyDescent="0.35">
      <c r="A51" s="25"/>
      <c r="B51" s="26"/>
      <c r="C51" s="51" t="str">
        <f t="shared" si="0"/>
        <v/>
      </c>
      <c r="D51" s="52" t="str">
        <f>IF(C51&lt;&gt;"",CONCATENATE(C51,"-",COUNTIF($C$4:C51,C51),""),"")</f>
        <v/>
      </c>
      <c r="E51" s="27"/>
      <c r="F51" s="27"/>
      <c r="G51" s="36"/>
      <c r="H51" s="36"/>
      <c r="I51" s="36"/>
      <c r="J51" s="36"/>
      <c r="K51" s="28"/>
    </row>
    <row r="52" spans="1:11" ht="293.25" customHeight="1" x14ac:dyDescent="0.35">
      <c r="A52" s="25"/>
      <c r="B52" s="26"/>
      <c r="C52" s="51" t="str">
        <f t="shared" si="0"/>
        <v/>
      </c>
      <c r="D52" s="52" t="str">
        <f>IF(C52&lt;&gt;"",CONCATENATE(C52,"-",COUNTIF($C$4:C52,C52),""),"")</f>
        <v/>
      </c>
      <c r="E52" s="27"/>
      <c r="F52" s="27"/>
      <c r="G52" s="36"/>
      <c r="H52" s="36"/>
      <c r="I52" s="36"/>
      <c r="J52" s="36"/>
      <c r="K52" s="28"/>
    </row>
    <row r="53" spans="1:11" ht="293.25" customHeight="1" x14ac:dyDescent="0.35">
      <c r="A53" s="25"/>
      <c r="B53" s="26"/>
      <c r="C53" s="51" t="str">
        <f t="shared" si="0"/>
        <v/>
      </c>
      <c r="D53" s="52" t="str">
        <f>IF(C53&lt;&gt;"",CONCATENATE(C53,"-",COUNTIF($C$4:C53,C53),""),"")</f>
        <v/>
      </c>
      <c r="E53" s="27"/>
      <c r="F53" s="27"/>
      <c r="G53" s="36"/>
      <c r="H53" s="36"/>
      <c r="I53" s="36"/>
      <c r="J53" s="36"/>
      <c r="K53" s="28"/>
    </row>
    <row r="54" spans="1:11" ht="293.25" customHeight="1" x14ac:dyDescent="0.35">
      <c r="A54" s="25"/>
      <c r="B54" s="26"/>
      <c r="C54" s="51" t="str">
        <f t="shared" si="0"/>
        <v/>
      </c>
      <c r="D54" s="52" t="str">
        <f>IF(C54&lt;&gt;"",CONCATENATE(C54,"-",COUNTIF($C$4:C54,C54),""),"")</f>
        <v/>
      </c>
      <c r="E54" s="27"/>
      <c r="F54" s="27"/>
      <c r="G54" s="36"/>
      <c r="H54" s="36"/>
      <c r="I54" s="36"/>
      <c r="J54" s="36"/>
      <c r="K54" s="28"/>
    </row>
    <row r="55" spans="1:11" ht="293.25" customHeight="1" x14ac:dyDescent="0.35">
      <c r="A55" s="25"/>
      <c r="B55" s="26"/>
      <c r="C55" s="51" t="str">
        <f t="shared" si="0"/>
        <v/>
      </c>
      <c r="D55" s="52" t="str">
        <f>IF(C55&lt;&gt;"",CONCATENATE(C55,"-",COUNTIF($C$4:C55,C55),""),"")</f>
        <v/>
      </c>
      <c r="E55" s="27"/>
      <c r="F55" s="27"/>
      <c r="G55" s="36"/>
      <c r="H55" s="36"/>
      <c r="I55" s="36"/>
      <c r="J55" s="36"/>
      <c r="K55" s="28"/>
    </row>
    <row r="56" spans="1:11" ht="293.25" customHeight="1" x14ac:dyDescent="0.35">
      <c r="A56" s="25"/>
      <c r="B56" s="26"/>
      <c r="C56" s="51" t="str">
        <f t="shared" si="0"/>
        <v/>
      </c>
      <c r="D56" s="52" t="str">
        <f>IF(C56&lt;&gt;"",CONCATENATE(C56,"-",COUNTIF($C$4:C56,C56),""),"")</f>
        <v/>
      </c>
      <c r="E56" s="27"/>
      <c r="F56" s="27"/>
      <c r="G56" s="36"/>
      <c r="H56" s="36"/>
      <c r="I56" s="36"/>
      <c r="J56" s="36"/>
      <c r="K56" s="28"/>
    </row>
    <row r="57" spans="1:11" ht="293.25" customHeight="1" x14ac:dyDescent="0.35">
      <c r="A57" s="25"/>
      <c r="B57" s="26"/>
      <c r="C57" s="51" t="str">
        <f t="shared" si="0"/>
        <v/>
      </c>
      <c r="D57" s="52" t="str">
        <f>IF(C57&lt;&gt;"",CONCATENATE(C57,"-",COUNTIF($C$4:C57,C57),""),"")</f>
        <v/>
      </c>
      <c r="E57" s="27"/>
      <c r="F57" s="27"/>
      <c r="G57" s="36"/>
      <c r="H57" s="36"/>
      <c r="I57" s="36"/>
      <c r="J57" s="36"/>
      <c r="K57" s="28"/>
    </row>
    <row r="58" spans="1:11" ht="293.25" customHeight="1" x14ac:dyDescent="0.35">
      <c r="A58" s="25"/>
      <c r="B58" s="26"/>
      <c r="C58" s="51" t="str">
        <f t="shared" si="0"/>
        <v/>
      </c>
      <c r="D58" s="52" t="str">
        <f>IF(C58&lt;&gt;"",CONCATENATE(C58,"-",COUNTIF($C$4:C58,C58),""),"")</f>
        <v/>
      </c>
      <c r="E58" s="27"/>
      <c r="F58" s="27"/>
      <c r="G58" s="36"/>
      <c r="H58" s="36"/>
      <c r="I58" s="36"/>
      <c r="J58" s="36"/>
      <c r="K58" s="28"/>
    </row>
    <row r="59" spans="1:11" ht="293.25" customHeight="1" x14ac:dyDescent="0.35">
      <c r="A59" s="25"/>
      <c r="B59" s="26"/>
      <c r="C59" s="51" t="str">
        <f t="shared" si="0"/>
        <v/>
      </c>
      <c r="D59" s="52" t="str">
        <f>IF(C59&lt;&gt;"",CONCATENATE(C59,"-",COUNTIF($C$4:C59,C59),""),"")</f>
        <v/>
      </c>
      <c r="E59" s="27"/>
      <c r="F59" s="27"/>
      <c r="G59" s="36"/>
      <c r="H59" s="36"/>
      <c r="I59" s="36"/>
      <c r="J59" s="36"/>
      <c r="K59" s="28"/>
    </row>
    <row r="60" spans="1:11" ht="293.25" customHeight="1" x14ac:dyDescent="0.35">
      <c r="A60" s="25"/>
      <c r="B60" s="26"/>
      <c r="C60" s="51" t="str">
        <f t="shared" si="0"/>
        <v/>
      </c>
      <c r="D60" s="52" t="str">
        <f>IF(C60&lt;&gt;"",CONCATENATE(C60,"-",COUNTIF($C$4:C60,C60),""),"")</f>
        <v/>
      </c>
      <c r="E60" s="27"/>
      <c r="F60" s="27"/>
      <c r="G60" s="36"/>
      <c r="H60" s="36"/>
      <c r="I60" s="36"/>
      <c r="J60" s="36"/>
      <c r="K60" s="28"/>
    </row>
    <row r="61" spans="1:11" ht="293.25" customHeight="1" x14ac:dyDescent="0.35">
      <c r="A61" s="25"/>
      <c r="B61" s="26"/>
      <c r="C61" s="51" t="str">
        <f t="shared" si="0"/>
        <v/>
      </c>
      <c r="D61" s="52" t="str">
        <f>IF(C61&lt;&gt;"",CONCATENATE(C61,"-",COUNTIF($C$4:C61,C61),""),"")</f>
        <v/>
      </c>
      <c r="E61" s="27"/>
      <c r="F61" s="27"/>
      <c r="G61" s="36"/>
      <c r="H61" s="36"/>
      <c r="I61" s="36"/>
      <c r="J61" s="36"/>
      <c r="K61" s="28"/>
    </row>
    <row r="62" spans="1:11" ht="293.25" customHeight="1" x14ac:dyDescent="0.35">
      <c r="A62" s="25"/>
      <c r="B62" s="26"/>
      <c r="C62" s="51" t="str">
        <f t="shared" si="0"/>
        <v/>
      </c>
      <c r="D62" s="52" t="str">
        <f>IF(C62&lt;&gt;"",CONCATENATE(C62,"-",COUNTIF($C$4:C62,C62),""),"")</f>
        <v/>
      </c>
      <c r="E62" s="27"/>
      <c r="F62" s="27"/>
      <c r="G62" s="36"/>
      <c r="H62" s="36"/>
      <c r="I62" s="36"/>
      <c r="J62" s="36"/>
      <c r="K62" s="28"/>
    </row>
    <row r="63" spans="1:11" ht="293.25" customHeight="1" x14ac:dyDescent="0.35">
      <c r="A63" s="25"/>
      <c r="B63" s="26"/>
      <c r="C63" s="51" t="str">
        <f t="shared" si="0"/>
        <v/>
      </c>
      <c r="D63" s="52" t="str">
        <f>IF(C63&lt;&gt;"",CONCATENATE(C63,"-",COUNTIF($C$4:C63,C63),""),"")</f>
        <v/>
      </c>
      <c r="E63" s="27"/>
      <c r="F63" s="27"/>
      <c r="G63" s="36"/>
      <c r="H63" s="36"/>
      <c r="I63" s="36"/>
      <c r="J63" s="36"/>
      <c r="K63" s="28"/>
    </row>
    <row r="64" spans="1:11" ht="293.25" customHeight="1" x14ac:dyDescent="0.35">
      <c r="A64" s="25"/>
      <c r="B64" s="26"/>
      <c r="C64" s="51" t="str">
        <f t="shared" si="0"/>
        <v/>
      </c>
      <c r="D64" s="52" t="str">
        <f>IF(C64&lt;&gt;"",CONCATENATE(C64,"-",COUNTIF($C$4:C64,C64),""),"")</f>
        <v/>
      </c>
      <c r="E64" s="27"/>
      <c r="F64" s="27"/>
      <c r="G64" s="36"/>
      <c r="H64" s="36"/>
      <c r="I64" s="36"/>
      <c r="J64" s="36"/>
      <c r="K64" s="28"/>
    </row>
    <row r="65" spans="1:11" ht="293.25" customHeight="1" x14ac:dyDescent="0.35">
      <c r="A65" s="25"/>
      <c r="B65" s="26"/>
      <c r="C65" s="51" t="str">
        <f t="shared" si="0"/>
        <v/>
      </c>
      <c r="D65" s="52" t="str">
        <f>IF(C65&lt;&gt;"",CONCATENATE(C65,"-",COUNTIF($C$4:C65,C65),""),"")</f>
        <v/>
      </c>
      <c r="E65" s="27"/>
      <c r="F65" s="27"/>
      <c r="G65" s="36"/>
      <c r="H65" s="36"/>
      <c r="I65" s="36"/>
      <c r="J65" s="36"/>
      <c r="K65" s="28"/>
    </row>
    <row r="66" spans="1:11" ht="293.25" customHeight="1" x14ac:dyDescent="0.35">
      <c r="A66" s="25"/>
      <c r="B66" s="26"/>
      <c r="C66" s="51" t="str">
        <f t="shared" si="0"/>
        <v/>
      </c>
      <c r="D66" s="52" t="str">
        <f>IF(C66&lt;&gt;"",CONCATENATE(C66,"-",COUNTIF($C$4:C66,C66),""),"")</f>
        <v/>
      </c>
      <c r="E66" s="27"/>
      <c r="F66" s="27"/>
      <c r="G66" s="36"/>
      <c r="H66" s="36"/>
      <c r="I66" s="36"/>
      <c r="J66" s="36"/>
      <c r="K66" s="28"/>
    </row>
    <row r="67" spans="1:11" ht="293.25" customHeight="1" x14ac:dyDescent="0.35">
      <c r="A67" s="25"/>
      <c r="B67" s="26"/>
      <c r="C67" s="51" t="str">
        <f t="shared" si="0"/>
        <v/>
      </c>
      <c r="D67" s="52" t="str">
        <f>IF(C67&lt;&gt;"",CONCATENATE(C67,"-",COUNTIF($C$4:C67,C67),""),"")</f>
        <v/>
      </c>
      <c r="E67" s="27"/>
      <c r="F67" s="27"/>
      <c r="G67" s="36"/>
      <c r="H67" s="36"/>
      <c r="I67" s="36"/>
      <c r="J67" s="36"/>
      <c r="K67" s="28"/>
    </row>
    <row r="68" spans="1:11" ht="293.25" customHeight="1" x14ac:dyDescent="0.35">
      <c r="A68" s="25"/>
      <c r="B68" s="26"/>
      <c r="C68" s="51" t="str">
        <f t="shared" si="0"/>
        <v/>
      </c>
      <c r="D68" s="52" t="str">
        <f>IF(C68&lt;&gt;"",CONCATENATE(C68,"-",COUNTIF($C$4:C68,C68),""),"")</f>
        <v/>
      </c>
      <c r="E68" s="27"/>
      <c r="F68" s="27"/>
      <c r="G68" s="36"/>
      <c r="H68" s="36"/>
      <c r="I68" s="36"/>
      <c r="J68" s="36"/>
      <c r="K68" s="28"/>
    </row>
    <row r="69" spans="1:11" ht="293.25" customHeight="1" x14ac:dyDescent="0.3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35">
      <c r="A70" s="25"/>
      <c r="B70" s="26"/>
      <c r="C70" s="51" t="str">
        <f t="shared" si="1"/>
        <v/>
      </c>
      <c r="D70" s="52" t="str">
        <f>IF(C70&lt;&gt;"",CONCATENATE(C70,"-",COUNTIF($C$4:C70,C70),""),"")</f>
        <v/>
      </c>
      <c r="E70" s="27"/>
      <c r="F70" s="27"/>
      <c r="G70" s="36"/>
      <c r="H70" s="36"/>
      <c r="I70" s="36"/>
      <c r="J70" s="36"/>
      <c r="K70" s="28"/>
    </row>
    <row r="71" spans="1:11" ht="293.25" customHeight="1" x14ac:dyDescent="0.35">
      <c r="A71" s="25"/>
      <c r="B71" s="26"/>
      <c r="C71" s="51" t="str">
        <f t="shared" si="1"/>
        <v/>
      </c>
      <c r="D71" s="52" t="str">
        <f>IF(C71&lt;&gt;"",CONCATENATE(C71,"-",COUNTIF($C$4:C71,C71),""),"")</f>
        <v/>
      </c>
      <c r="E71" s="27"/>
      <c r="F71" s="27"/>
      <c r="G71" s="36"/>
      <c r="H71" s="36"/>
      <c r="I71" s="36"/>
      <c r="J71" s="36"/>
      <c r="K71" s="28"/>
    </row>
    <row r="72" spans="1:11" ht="293.25" customHeight="1" x14ac:dyDescent="0.35">
      <c r="A72" s="25"/>
      <c r="B72" s="26"/>
      <c r="C72" s="51" t="str">
        <f t="shared" si="1"/>
        <v/>
      </c>
      <c r="D72" s="52" t="str">
        <f>IF(C72&lt;&gt;"",CONCATENATE(C72,"-",COUNTIF($C$4:C72,C72),""),"")</f>
        <v/>
      </c>
      <c r="E72" s="27"/>
      <c r="F72" s="27"/>
      <c r="G72" s="36"/>
      <c r="H72" s="36"/>
      <c r="I72" s="36"/>
      <c r="J72" s="36"/>
      <c r="K72" s="28"/>
    </row>
    <row r="73" spans="1:11" ht="293.25" customHeight="1" x14ac:dyDescent="0.35">
      <c r="A73" s="25"/>
      <c r="B73" s="26"/>
      <c r="C73" s="51" t="str">
        <f t="shared" si="1"/>
        <v/>
      </c>
      <c r="D73" s="52" t="str">
        <f>IF(C73&lt;&gt;"",CONCATENATE(C73,"-",COUNTIF($C$4:C73,C73),""),"")</f>
        <v/>
      </c>
      <c r="E73" s="27"/>
      <c r="F73" s="27"/>
      <c r="G73" s="36"/>
      <c r="H73" s="36"/>
      <c r="I73" s="36"/>
      <c r="J73" s="36"/>
      <c r="K73" s="28"/>
    </row>
    <row r="74" spans="1:11" ht="293.25" customHeight="1" x14ac:dyDescent="0.35">
      <c r="A74" s="25"/>
      <c r="B74" s="26"/>
      <c r="C74" s="51" t="str">
        <f t="shared" si="1"/>
        <v/>
      </c>
      <c r="D74" s="52" t="str">
        <f>IF(C74&lt;&gt;"",CONCATENATE(C74,"-",COUNTIF($C$4:C74,C74),""),"")</f>
        <v/>
      </c>
      <c r="E74" s="27"/>
      <c r="F74" s="27"/>
      <c r="G74" s="36"/>
      <c r="H74" s="36"/>
      <c r="I74" s="36"/>
      <c r="J74" s="36"/>
      <c r="K74" s="28"/>
    </row>
    <row r="75" spans="1:11" ht="293.25" customHeight="1" x14ac:dyDescent="0.35">
      <c r="A75" s="25"/>
      <c r="B75" s="26"/>
      <c r="C75" s="51" t="str">
        <f t="shared" si="1"/>
        <v/>
      </c>
      <c r="D75" s="52" t="str">
        <f>IF(C75&lt;&gt;"",CONCATENATE(C75,"-",COUNTIF($C$4:C75,C75),""),"")</f>
        <v/>
      </c>
      <c r="E75" s="27"/>
      <c r="F75" s="27"/>
      <c r="G75" s="36"/>
      <c r="H75" s="36"/>
      <c r="I75" s="36"/>
      <c r="J75" s="36"/>
      <c r="K75" s="28"/>
    </row>
    <row r="76" spans="1:11" ht="293.25" customHeight="1" x14ac:dyDescent="0.35">
      <c r="A76" s="25"/>
      <c r="B76" s="26"/>
      <c r="C76" s="51" t="str">
        <f t="shared" si="1"/>
        <v/>
      </c>
      <c r="D76" s="52" t="str">
        <f>IF(C76&lt;&gt;"",CONCATENATE(C76,"-",COUNTIF($C$4:C76,C76),""),"")</f>
        <v/>
      </c>
      <c r="E76" s="27"/>
      <c r="F76" s="27"/>
      <c r="G76" s="36"/>
      <c r="H76" s="36"/>
      <c r="I76" s="36"/>
      <c r="J76" s="36"/>
      <c r="K76" s="28"/>
    </row>
    <row r="77" spans="1:11" ht="293.25" customHeight="1" x14ac:dyDescent="0.35">
      <c r="A77" s="25"/>
      <c r="B77" s="26"/>
      <c r="C77" s="51" t="str">
        <f t="shared" si="1"/>
        <v/>
      </c>
      <c r="D77" s="52" t="str">
        <f>IF(C77&lt;&gt;"",CONCATENATE(C77,"-",COUNTIF($C$4:C77,C77),""),"")</f>
        <v/>
      </c>
      <c r="E77" s="27"/>
      <c r="F77" s="27"/>
      <c r="G77" s="36"/>
      <c r="H77" s="36"/>
      <c r="I77" s="36"/>
      <c r="J77" s="36"/>
      <c r="K77" s="28"/>
    </row>
    <row r="78" spans="1:11" ht="293.25" customHeight="1" x14ac:dyDescent="0.35">
      <c r="A78" s="25"/>
      <c r="B78" s="26"/>
      <c r="C78" s="51" t="str">
        <f t="shared" si="1"/>
        <v/>
      </c>
      <c r="D78" s="52" t="str">
        <f>IF(C78&lt;&gt;"",CONCATENATE(C78,"-",COUNTIF($C$4:C78,C78),""),"")</f>
        <v/>
      </c>
      <c r="E78" s="27"/>
      <c r="F78" s="27"/>
      <c r="G78" s="36"/>
      <c r="H78" s="36"/>
      <c r="I78" s="36"/>
      <c r="J78" s="36"/>
      <c r="K78" s="28"/>
    </row>
    <row r="79" spans="1:11" ht="293.25" customHeight="1" x14ac:dyDescent="0.35">
      <c r="A79" s="25"/>
      <c r="B79" s="26"/>
      <c r="C79" s="51" t="str">
        <f t="shared" si="1"/>
        <v/>
      </c>
      <c r="D79" s="52" t="str">
        <f>IF(C79&lt;&gt;"",CONCATENATE(C79,"-",COUNTIF($C$4:C79,C79),""),"")</f>
        <v/>
      </c>
      <c r="E79" s="27"/>
      <c r="F79" s="27"/>
      <c r="G79" s="36"/>
      <c r="H79" s="36"/>
      <c r="I79" s="36"/>
      <c r="J79" s="36"/>
      <c r="K79" s="28"/>
    </row>
    <row r="80" spans="1:11" ht="293.25" customHeight="1" x14ac:dyDescent="0.35">
      <c r="A80" s="25"/>
      <c r="B80" s="26"/>
      <c r="C80" s="51" t="str">
        <f t="shared" si="1"/>
        <v/>
      </c>
      <c r="D80" s="52" t="str">
        <f>IF(C80&lt;&gt;"",CONCATENATE(C80,"-",COUNTIF($C$4:C80,C80),""),"")</f>
        <v/>
      </c>
      <c r="E80" s="27"/>
      <c r="F80" s="27"/>
      <c r="G80" s="36"/>
      <c r="H80" s="36"/>
      <c r="I80" s="36"/>
      <c r="J80" s="36"/>
      <c r="K80" s="28"/>
    </row>
    <row r="81" spans="1:11" ht="293.25" customHeight="1" x14ac:dyDescent="0.35">
      <c r="A81" s="25"/>
      <c r="B81" s="26"/>
      <c r="C81" s="51" t="str">
        <f t="shared" si="1"/>
        <v/>
      </c>
      <c r="D81" s="52" t="str">
        <f>IF(C81&lt;&gt;"",CONCATENATE(C81,"-",COUNTIF($C$4:C81,C81),""),"")</f>
        <v/>
      </c>
      <c r="E81" s="27"/>
      <c r="F81" s="27"/>
      <c r="G81" s="36"/>
      <c r="H81" s="36"/>
      <c r="I81" s="36"/>
      <c r="J81" s="36"/>
      <c r="K81" s="28"/>
    </row>
    <row r="82" spans="1:11" ht="293.25" customHeight="1" x14ac:dyDescent="0.35">
      <c r="A82" s="25"/>
      <c r="B82" s="26"/>
      <c r="C82" s="51" t="str">
        <f t="shared" si="1"/>
        <v/>
      </c>
      <c r="D82" s="52" t="str">
        <f>IF(C82&lt;&gt;"",CONCATENATE(C82,"-",COUNTIF($C$4:C82,C82),""),"")</f>
        <v/>
      </c>
      <c r="E82" s="27"/>
      <c r="F82" s="27"/>
      <c r="G82" s="36"/>
      <c r="H82" s="36"/>
      <c r="I82" s="36"/>
      <c r="J82" s="36"/>
      <c r="K82" s="28"/>
    </row>
    <row r="83" spans="1:11" ht="293.25" customHeight="1" x14ac:dyDescent="0.35">
      <c r="A83" s="25"/>
      <c r="B83" s="26"/>
      <c r="C83" s="51" t="str">
        <f t="shared" si="1"/>
        <v/>
      </c>
      <c r="D83" s="52" t="str">
        <f>IF(C83&lt;&gt;"",CONCATENATE(C83,"-",COUNTIF($C$4:C83,C83),""),"")</f>
        <v/>
      </c>
      <c r="E83" s="27"/>
      <c r="F83" s="27"/>
      <c r="G83" s="36"/>
      <c r="H83" s="36"/>
      <c r="I83" s="36"/>
      <c r="J83" s="36"/>
      <c r="K83" s="28"/>
    </row>
    <row r="84" spans="1:11" ht="293.25" customHeight="1" x14ac:dyDescent="0.35">
      <c r="A84" s="25"/>
      <c r="B84" s="26"/>
      <c r="C84" s="51" t="str">
        <f t="shared" si="1"/>
        <v/>
      </c>
      <c r="D84" s="52" t="str">
        <f>IF(C84&lt;&gt;"",CONCATENATE(C84,"-",COUNTIF($C$4:C84,C84),""),"")</f>
        <v/>
      </c>
      <c r="E84" s="27"/>
      <c r="F84" s="27"/>
      <c r="G84" s="36"/>
      <c r="H84" s="36"/>
      <c r="I84" s="36"/>
      <c r="J84" s="36"/>
      <c r="K84" s="28"/>
    </row>
    <row r="85" spans="1:11" ht="293.25" customHeight="1" x14ac:dyDescent="0.35">
      <c r="A85" s="25"/>
      <c r="B85" s="26"/>
      <c r="C85" s="51" t="str">
        <f t="shared" si="1"/>
        <v/>
      </c>
      <c r="D85" s="52" t="str">
        <f>IF(C85&lt;&gt;"",CONCATENATE(C85,"-",COUNTIF($C$4:C85,C85),""),"")</f>
        <v/>
      </c>
      <c r="E85" s="27"/>
      <c r="F85" s="27"/>
      <c r="G85" s="36"/>
      <c r="H85" s="36"/>
      <c r="I85" s="36"/>
      <c r="J85" s="36"/>
      <c r="K85" s="28"/>
    </row>
    <row r="86" spans="1:11" ht="293.25" customHeight="1" x14ac:dyDescent="0.35">
      <c r="A86" s="25"/>
      <c r="B86" s="26"/>
      <c r="C86" s="51" t="str">
        <f t="shared" si="1"/>
        <v/>
      </c>
      <c r="D86" s="52" t="str">
        <f>IF(C86&lt;&gt;"",CONCATENATE(C86,"-",COUNTIF($C$4:C86,C86),""),"")</f>
        <v/>
      </c>
      <c r="E86" s="27"/>
      <c r="F86" s="27"/>
      <c r="G86" s="36"/>
      <c r="H86" s="36"/>
      <c r="I86" s="36"/>
      <c r="J86" s="36"/>
      <c r="K86" s="28"/>
    </row>
    <row r="87" spans="1:11" ht="293.25" customHeight="1" x14ac:dyDescent="0.35">
      <c r="A87" s="25"/>
      <c r="B87" s="26"/>
      <c r="C87" s="51" t="str">
        <f t="shared" si="1"/>
        <v/>
      </c>
      <c r="D87" s="52" t="str">
        <f>IF(C87&lt;&gt;"",CONCATENATE(C87,"-",COUNTIF($C$4:C87,C87),""),"")</f>
        <v/>
      </c>
      <c r="E87" s="27"/>
      <c r="F87" s="27"/>
      <c r="G87" s="36"/>
      <c r="H87" s="36"/>
      <c r="I87" s="36"/>
      <c r="J87" s="36"/>
      <c r="K87" s="28"/>
    </row>
    <row r="88" spans="1:11" ht="293.25" customHeight="1" x14ac:dyDescent="0.35">
      <c r="A88" s="25"/>
      <c r="B88" s="26"/>
      <c r="C88" s="51" t="str">
        <f t="shared" si="1"/>
        <v/>
      </c>
      <c r="D88" s="52" t="str">
        <f>IF(C88&lt;&gt;"",CONCATENATE(C88,"-",COUNTIF($C$4:C88,C88),""),"")</f>
        <v/>
      </c>
      <c r="E88" s="27"/>
      <c r="F88" s="27"/>
      <c r="G88" s="36"/>
      <c r="H88" s="36"/>
      <c r="I88" s="36"/>
      <c r="J88" s="36"/>
      <c r="K88" s="28"/>
    </row>
    <row r="89" spans="1:11" ht="293.25" customHeight="1" x14ac:dyDescent="0.35">
      <c r="A89" s="25"/>
      <c r="B89" s="26"/>
      <c r="C89" s="51" t="str">
        <f t="shared" si="1"/>
        <v/>
      </c>
      <c r="D89" s="52" t="str">
        <f>IF(C89&lt;&gt;"",CONCATENATE(C89,"-",COUNTIF($C$4:C89,C89),""),"")</f>
        <v/>
      </c>
      <c r="E89" s="27"/>
      <c r="F89" s="27"/>
      <c r="G89" s="36"/>
      <c r="H89" s="36"/>
      <c r="I89" s="36"/>
      <c r="J89" s="36"/>
      <c r="K89" s="28"/>
    </row>
    <row r="90" spans="1:11" ht="293.25" customHeight="1" x14ac:dyDescent="0.35">
      <c r="A90" s="25"/>
      <c r="B90" s="26"/>
      <c r="C90" s="51" t="str">
        <f t="shared" si="1"/>
        <v/>
      </c>
      <c r="D90" s="52" t="str">
        <f>IF(C90&lt;&gt;"",CONCATENATE(C90,"-",COUNTIF($C$4:C90,C90),""),"")</f>
        <v/>
      </c>
      <c r="E90" s="27"/>
      <c r="F90" s="27"/>
      <c r="G90" s="36"/>
      <c r="H90" s="36"/>
      <c r="I90" s="36"/>
      <c r="J90" s="36"/>
      <c r="K90" s="28"/>
    </row>
    <row r="91" spans="1:11" ht="293.25" customHeight="1" x14ac:dyDescent="0.35">
      <c r="A91" s="25"/>
      <c r="B91" s="26"/>
      <c r="C91" s="51" t="str">
        <f t="shared" si="1"/>
        <v/>
      </c>
      <c r="D91" s="52" t="str">
        <f>IF(C91&lt;&gt;"",CONCATENATE(C91,"-",COUNTIF($C$4:C91,C91),""),"")</f>
        <v/>
      </c>
      <c r="E91" s="27"/>
      <c r="F91" s="27"/>
      <c r="G91" s="36"/>
      <c r="H91" s="36"/>
      <c r="I91" s="36"/>
      <c r="J91" s="36"/>
      <c r="K91" s="28"/>
    </row>
    <row r="92" spans="1:11" ht="293.25" customHeight="1" x14ac:dyDescent="0.35">
      <c r="A92" s="25"/>
      <c r="B92" s="26"/>
      <c r="C92" s="51" t="str">
        <f t="shared" si="1"/>
        <v/>
      </c>
      <c r="D92" s="52" t="str">
        <f>IF(C92&lt;&gt;"",CONCATENATE(C92,"-",COUNTIF($C$4:C92,C92),""),"")</f>
        <v/>
      </c>
      <c r="E92" s="27"/>
      <c r="F92" s="27"/>
      <c r="G92" s="36"/>
      <c r="H92" s="36"/>
      <c r="I92" s="36"/>
      <c r="J92" s="36"/>
      <c r="K92" s="28"/>
    </row>
    <row r="93" spans="1:11" ht="293.25" customHeight="1" x14ac:dyDescent="0.35">
      <c r="A93" s="25"/>
      <c r="B93" s="26"/>
      <c r="C93" s="51" t="str">
        <f t="shared" si="1"/>
        <v/>
      </c>
      <c r="D93" s="52" t="str">
        <f>IF(C93&lt;&gt;"",CONCATENATE(C93,"-",COUNTIF($C$4:C93,C93),""),"")</f>
        <v/>
      </c>
      <c r="E93" s="27"/>
      <c r="F93" s="27"/>
      <c r="G93" s="36"/>
      <c r="H93" s="36"/>
      <c r="I93" s="36"/>
      <c r="J93" s="36"/>
      <c r="K93" s="28"/>
    </row>
    <row r="94" spans="1:11" ht="293.25" customHeight="1" x14ac:dyDescent="0.35">
      <c r="A94" s="25"/>
      <c r="B94" s="26"/>
      <c r="C94" s="51" t="str">
        <f t="shared" si="1"/>
        <v/>
      </c>
      <c r="D94" s="52" t="str">
        <f>IF(C94&lt;&gt;"",CONCATENATE(C94,"-",COUNTIF($C$4:C94,C94),""),"")</f>
        <v/>
      </c>
      <c r="E94" s="27"/>
      <c r="F94" s="27"/>
      <c r="G94" s="36"/>
      <c r="H94" s="36"/>
      <c r="I94" s="36"/>
      <c r="J94" s="36"/>
      <c r="K94" s="28"/>
    </row>
    <row r="95" spans="1:11" ht="293.25" customHeight="1" x14ac:dyDescent="0.35">
      <c r="A95" s="25"/>
      <c r="B95" s="26"/>
      <c r="C95" s="51" t="str">
        <f t="shared" si="1"/>
        <v/>
      </c>
      <c r="D95" s="52" t="str">
        <f>IF(C95&lt;&gt;"",CONCATENATE(C95,"-",COUNTIF($C$4:C95,C95),""),"")</f>
        <v/>
      </c>
      <c r="E95" s="27"/>
      <c r="F95" s="27"/>
      <c r="G95" s="36"/>
      <c r="H95" s="36"/>
      <c r="I95" s="36"/>
      <c r="J95" s="36"/>
      <c r="K95" s="28"/>
    </row>
    <row r="96" spans="1:11" ht="293.25" customHeight="1" x14ac:dyDescent="0.35">
      <c r="A96" s="25"/>
      <c r="B96" s="26"/>
      <c r="C96" s="51" t="str">
        <f t="shared" si="1"/>
        <v/>
      </c>
      <c r="D96" s="52" t="str">
        <f>IF(C96&lt;&gt;"",CONCATENATE(C96,"-",COUNTIF($C$4:C96,C96),""),"")</f>
        <v/>
      </c>
      <c r="E96" s="27"/>
      <c r="F96" s="27"/>
      <c r="G96" s="36"/>
      <c r="H96" s="36"/>
      <c r="I96" s="36"/>
      <c r="J96" s="36"/>
      <c r="K96" s="28"/>
    </row>
    <row r="97" spans="1:11" ht="293.25" customHeight="1" x14ac:dyDescent="0.35">
      <c r="A97" s="25"/>
      <c r="B97" s="26"/>
      <c r="C97" s="51" t="str">
        <f t="shared" si="1"/>
        <v/>
      </c>
      <c r="D97" s="52" t="str">
        <f>IF(C97&lt;&gt;"",CONCATENATE(C97,"-",COUNTIF($C$4:C97,C97),""),"")</f>
        <v/>
      </c>
      <c r="E97" s="27"/>
      <c r="F97" s="27"/>
      <c r="G97" s="36"/>
      <c r="H97" s="36"/>
      <c r="I97" s="36"/>
      <c r="J97" s="36"/>
      <c r="K97" s="28"/>
    </row>
    <row r="98" spans="1:11" ht="293.25" customHeight="1" x14ac:dyDescent="0.35">
      <c r="A98" s="25"/>
      <c r="B98" s="26"/>
      <c r="C98" s="51" t="str">
        <f t="shared" si="1"/>
        <v/>
      </c>
      <c r="D98" s="52" t="str">
        <f>IF(C98&lt;&gt;"",CONCATENATE(C98,"-",COUNTIF($C$4:C98,C98),""),"")</f>
        <v/>
      </c>
      <c r="E98" s="27"/>
      <c r="F98" s="27"/>
      <c r="G98" s="36"/>
      <c r="H98" s="36"/>
      <c r="I98" s="36"/>
      <c r="J98" s="36"/>
      <c r="K98" s="28"/>
    </row>
    <row r="99" spans="1:11" ht="293.25" customHeight="1" x14ac:dyDescent="0.35">
      <c r="A99" s="25"/>
      <c r="B99" s="26"/>
      <c r="C99" s="51" t="str">
        <f t="shared" si="1"/>
        <v/>
      </c>
      <c r="D99" s="52" t="str">
        <f>IF(C99&lt;&gt;"",CONCATENATE(C99,"-",COUNTIF($C$4:C99,C99),""),"")</f>
        <v/>
      </c>
      <c r="E99" s="27"/>
      <c r="F99" s="27"/>
      <c r="G99" s="36"/>
      <c r="H99" s="36"/>
      <c r="I99" s="36"/>
      <c r="J99" s="36"/>
      <c r="K99" s="28"/>
    </row>
    <row r="100" spans="1:11" ht="293.25" customHeight="1" x14ac:dyDescent="0.35">
      <c r="A100" s="25"/>
      <c r="B100" s="26"/>
      <c r="C100" s="51" t="str">
        <f t="shared" si="1"/>
        <v/>
      </c>
      <c r="D100" s="52" t="str">
        <f>IF(C100&lt;&gt;"",CONCATENATE(C100,"-",COUNTIF($C$4:C100,C100),""),"")</f>
        <v/>
      </c>
      <c r="E100" s="27"/>
      <c r="F100" s="27"/>
      <c r="G100" s="36"/>
      <c r="H100" s="36"/>
      <c r="I100" s="36"/>
      <c r="J100" s="36"/>
      <c r="K100" s="28"/>
    </row>
    <row r="101" spans="1:11" ht="293.25" customHeight="1" x14ac:dyDescent="0.35">
      <c r="A101" s="25"/>
      <c r="B101" s="26"/>
      <c r="C101" s="51" t="str">
        <f t="shared" si="1"/>
        <v/>
      </c>
      <c r="D101" s="52" t="str">
        <f>IF(C101&lt;&gt;"",CONCATENATE(C101,"-",COUNTIF($C$4:C101,C101),""),"")</f>
        <v/>
      </c>
      <c r="E101" s="27"/>
      <c r="F101" s="27"/>
      <c r="G101" s="36"/>
      <c r="H101" s="36"/>
      <c r="I101" s="36"/>
      <c r="J101" s="36"/>
      <c r="K101" s="28"/>
    </row>
    <row r="102" spans="1:11" ht="293.25" customHeight="1" x14ac:dyDescent="0.35">
      <c r="A102" s="25"/>
      <c r="B102" s="26"/>
      <c r="C102" s="51" t="str">
        <f t="shared" si="1"/>
        <v/>
      </c>
      <c r="D102" s="52" t="str">
        <f>IF(C102&lt;&gt;"",CONCATENATE(C102,"-",COUNTIF($C$4:C102,C102),""),"")</f>
        <v/>
      </c>
      <c r="E102" s="27"/>
      <c r="F102" s="27"/>
      <c r="G102" s="36"/>
      <c r="H102" s="36"/>
      <c r="I102" s="36"/>
      <c r="J102" s="36"/>
      <c r="K102" s="28"/>
    </row>
    <row r="103" spans="1:11" ht="293.25" customHeight="1" x14ac:dyDescent="0.35">
      <c r="A103" s="25"/>
      <c r="B103" s="26"/>
      <c r="C103" s="51" t="str">
        <f t="shared" si="1"/>
        <v/>
      </c>
      <c r="D103" s="52" t="str">
        <f>IF(C103&lt;&gt;"",CONCATENATE(C103,"-",COUNTIF($C$4:C103,C103),""),"")</f>
        <v/>
      </c>
      <c r="E103" s="27"/>
      <c r="F103" s="27"/>
      <c r="G103" s="36"/>
      <c r="H103" s="36"/>
      <c r="I103" s="36"/>
      <c r="J103" s="36"/>
      <c r="K103" s="28"/>
    </row>
    <row r="104" spans="1:11" ht="293.25" customHeight="1" x14ac:dyDescent="0.35">
      <c r="A104" s="25"/>
      <c r="B104" s="26"/>
      <c r="C104" s="51" t="str">
        <f t="shared" si="1"/>
        <v/>
      </c>
      <c r="D104" s="52" t="str">
        <f>IF(C104&lt;&gt;"",CONCATENATE(C104,"-",COUNTIF($C$4:C104,C104),""),"")</f>
        <v/>
      </c>
      <c r="E104" s="27"/>
      <c r="F104" s="27"/>
      <c r="G104" s="36"/>
      <c r="H104" s="36"/>
      <c r="I104" s="36"/>
      <c r="J104" s="36"/>
      <c r="K104" s="28"/>
    </row>
    <row r="105" spans="1:11" ht="293.25" customHeight="1" x14ac:dyDescent="0.3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35">
      <c r="A106" s="25"/>
      <c r="B106" s="26"/>
      <c r="C106" s="51" t="str">
        <f t="shared" si="2"/>
        <v/>
      </c>
      <c r="D106" s="52" t="str">
        <f>IF(C106&lt;&gt;"",CONCATENATE(C106,"-",COUNTIF($C$4:C106,C106),""),"")</f>
        <v/>
      </c>
      <c r="E106" s="27"/>
      <c r="F106" s="27"/>
      <c r="G106" s="36"/>
      <c r="H106" s="36"/>
      <c r="I106" s="36"/>
      <c r="J106" s="36"/>
      <c r="K106" s="28"/>
    </row>
    <row r="107" spans="1:11" ht="293.25" customHeight="1" x14ac:dyDescent="0.35">
      <c r="A107" s="25"/>
      <c r="B107" s="26"/>
      <c r="C107" s="51" t="str">
        <f t="shared" si="2"/>
        <v/>
      </c>
      <c r="D107" s="52" t="str">
        <f>IF(C107&lt;&gt;"",CONCATENATE(C107,"-",COUNTIF($C$4:C107,C107),""),"")</f>
        <v/>
      </c>
      <c r="E107" s="27"/>
      <c r="F107" s="27"/>
      <c r="G107" s="36"/>
      <c r="H107" s="36"/>
      <c r="I107" s="36"/>
      <c r="J107" s="36"/>
      <c r="K107" s="28"/>
    </row>
    <row r="108" spans="1:11" ht="293.25" customHeight="1" x14ac:dyDescent="0.35">
      <c r="A108" s="25"/>
      <c r="B108" s="26"/>
      <c r="C108" s="51" t="str">
        <f t="shared" si="2"/>
        <v/>
      </c>
      <c r="D108" s="52" t="str">
        <f>IF(C108&lt;&gt;"",CONCATENATE(C108,"-",COUNTIF($C$4:C108,C108),""),"")</f>
        <v/>
      </c>
      <c r="E108" s="27"/>
      <c r="F108" s="27"/>
      <c r="G108" s="36"/>
      <c r="H108" s="36"/>
      <c r="I108" s="36"/>
      <c r="J108" s="36"/>
      <c r="K108" s="28"/>
    </row>
    <row r="109" spans="1:11" ht="293.25" customHeight="1" x14ac:dyDescent="0.35">
      <c r="A109" s="25"/>
      <c r="B109" s="26"/>
      <c r="C109" s="51" t="str">
        <f t="shared" si="2"/>
        <v/>
      </c>
      <c r="D109" s="52" t="str">
        <f>IF(C109&lt;&gt;"",CONCATENATE(C109,"-",COUNTIF($C$4:C109,C109),""),"")</f>
        <v/>
      </c>
      <c r="E109" s="27"/>
      <c r="F109" s="27"/>
      <c r="G109" s="36"/>
      <c r="H109" s="36"/>
      <c r="I109" s="36"/>
      <c r="J109" s="36"/>
      <c r="K109" s="28"/>
    </row>
    <row r="110" spans="1:11" ht="293.25" customHeight="1" x14ac:dyDescent="0.3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35">
      <c r="A111" s="25"/>
      <c r="B111" s="26"/>
      <c r="C111" s="51" t="str">
        <f t="shared" si="3"/>
        <v/>
      </c>
      <c r="D111" s="52" t="str">
        <f>IF(C111&lt;&gt;"",CONCATENATE(C111,"-",COUNTIF($C$4:C111,C111),""),"")</f>
        <v/>
      </c>
      <c r="E111" s="27"/>
      <c r="F111" s="27"/>
      <c r="G111" s="36"/>
      <c r="H111" s="36"/>
      <c r="I111" s="36"/>
      <c r="J111" s="36"/>
      <c r="K111" s="28"/>
    </row>
    <row r="112" spans="1:11" ht="293.25" customHeight="1" x14ac:dyDescent="0.35">
      <c r="A112" s="25"/>
      <c r="B112" s="26"/>
      <c r="C112" s="51" t="str">
        <f t="shared" si="3"/>
        <v/>
      </c>
      <c r="D112" s="52" t="str">
        <f>IF(C112&lt;&gt;"",CONCATENATE(C112,"-",COUNTIF($C$4:C112,C112),""),"")</f>
        <v/>
      </c>
      <c r="E112" s="27"/>
      <c r="F112" s="27"/>
      <c r="G112" s="36"/>
      <c r="H112" s="36"/>
      <c r="I112" s="36"/>
      <c r="J112" s="36"/>
      <c r="K112" s="28"/>
    </row>
    <row r="113" spans="1:11" ht="293.25" customHeight="1" x14ac:dyDescent="0.35">
      <c r="A113" s="25"/>
      <c r="B113" s="26"/>
      <c r="C113" s="51" t="str">
        <f t="shared" si="3"/>
        <v/>
      </c>
      <c r="D113" s="52" t="str">
        <f>IF(C113&lt;&gt;"",CONCATENATE(C113,"-",COUNTIF($C$4:C113,C113),""),"")</f>
        <v/>
      </c>
      <c r="E113" s="27"/>
      <c r="F113" s="27"/>
      <c r="G113" s="36"/>
      <c r="H113" s="36"/>
      <c r="I113" s="36"/>
      <c r="J113" s="36"/>
      <c r="K113" s="28"/>
    </row>
    <row r="114" spans="1:11" ht="293.25" customHeight="1" x14ac:dyDescent="0.35">
      <c r="A114" s="25"/>
      <c r="B114" s="26"/>
      <c r="C114" s="51" t="str">
        <f t="shared" si="3"/>
        <v/>
      </c>
      <c r="D114" s="52" t="str">
        <f>IF(C114&lt;&gt;"",CONCATENATE(C114,"-",COUNTIF($C$4:C114,C114),""),"")</f>
        <v/>
      </c>
      <c r="E114" s="27"/>
      <c r="F114" s="27"/>
      <c r="G114" s="36"/>
      <c r="H114" s="36"/>
      <c r="I114" s="36"/>
      <c r="J114" s="36"/>
      <c r="K114" s="28"/>
    </row>
    <row r="115" spans="1:11" ht="293.25" customHeight="1" x14ac:dyDescent="0.35">
      <c r="A115" s="25"/>
      <c r="B115" s="26"/>
      <c r="C115" s="51" t="str">
        <f t="shared" si="3"/>
        <v/>
      </c>
      <c r="D115" s="52" t="str">
        <f>IF(C115&lt;&gt;"",CONCATENATE(C115,"-",COUNTIF($C$4:C115,C115),""),"")</f>
        <v/>
      </c>
      <c r="E115" s="27"/>
      <c r="F115" s="27"/>
      <c r="G115" s="36"/>
      <c r="H115" s="36"/>
      <c r="I115" s="36"/>
      <c r="J115" s="36"/>
      <c r="K115" s="28"/>
    </row>
    <row r="116" spans="1:11" ht="293.25" customHeight="1" x14ac:dyDescent="0.35">
      <c r="A116" s="25"/>
      <c r="B116" s="26"/>
      <c r="C116" s="51" t="str">
        <f t="shared" si="3"/>
        <v/>
      </c>
      <c r="D116" s="52" t="str">
        <f>IF(C116&lt;&gt;"",CONCATENATE(C116,"-",COUNTIF($C$4:C116,C116),""),"")</f>
        <v/>
      </c>
      <c r="E116" s="27"/>
      <c r="F116" s="27"/>
      <c r="G116" s="36"/>
      <c r="H116" s="36"/>
      <c r="I116" s="36"/>
      <c r="J116" s="36"/>
      <c r="K116" s="28"/>
    </row>
    <row r="117" spans="1:11" ht="293.25" customHeight="1" x14ac:dyDescent="0.35">
      <c r="A117" s="25"/>
      <c r="B117" s="26"/>
      <c r="C117" s="51" t="str">
        <f t="shared" si="3"/>
        <v/>
      </c>
      <c r="D117" s="52" t="str">
        <f>IF(C117&lt;&gt;"",CONCATENATE(C117,"-",COUNTIF($C$4:C117,C117),""),"")</f>
        <v/>
      </c>
      <c r="E117" s="27"/>
      <c r="F117" s="27"/>
      <c r="G117" s="36"/>
      <c r="H117" s="36"/>
      <c r="I117" s="36"/>
      <c r="J117" s="36"/>
      <c r="K117" s="28"/>
    </row>
    <row r="118" spans="1:11" ht="293.25" customHeight="1" x14ac:dyDescent="0.35">
      <c r="A118" s="25"/>
      <c r="B118" s="26"/>
      <c r="C118" s="51" t="str">
        <f t="shared" si="3"/>
        <v/>
      </c>
      <c r="D118" s="52" t="str">
        <f>IF(C118&lt;&gt;"",CONCATENATE(C118,"-",COUNTIF($C$4:C118,C118),""),"")</f>
        <v/>
      </c>
      <c r="E118" s="27"/>
      <c r="F118" s="27"/>
      <c r="G118" s="36"/>
      <c r="H118" s="36"/>
      <c r="I118" s="36"/>
      <c r="J118" s="36"/>
      <c r="K118" s="28"/>
    </row>
    <row r="119" spans="1:11" ht="293.25" customHeight="1" x14ac:dyDescent="0.35">
      <c r="A119" s="25"/>
      <c r="B119" s="26"/>
      <c r="C119" s="51" t="str">
        <f t="shared" si="3"/>
        <v/>
      </c>
      <c r="D119" s="52" t="str">
        <f>IF(C119&lt;&gt;"",CONCATENATE(C119,"-",COUNTIF($C$4:C119,C119),""),"")</f>
        <v/>
      </c>
      <c r="E119" s="27"/>
      <c r="F119" s="27"/>
      <c r="G119" s="36"/>
      <c r="H119" s="36"/>
      <c r="I119" s="36"/>
      <c r="J119" s="36"/>
      <c r="K119" s="28"/>
    </row>
    <row r="120" spans="1:11" ht="293.25" customHeight="1" x14ac:dyDescent="0.35">
      <c r="A120" s="25"/>
      <c r="B120" s="26"/>
      <c r="C120" s="51" t="str">
        <f t="shared" si="3"/>
        <v/>
      </c>
      <c r="D120" s="52" t="str">
        <f>IF(C120&lt;&gt;"",CONCATENATE(C120,"-",COUNTIF($C$4:C120,C120),""),"")</f>
        <v/>
      </c>
      <c r="E120" s="27"/>
      <c r="F120" s="27"/>
      <c r="G120" s="36"/>
      <c r="H120" s="36"/>
      <c r="I120" s="36"/>
      <c r="J120" s="36"/>
      <c r="K120" s="28"/>
    </row>
    <row r="121" spans="1:11" ht="293.25" customHeight="1" x14ac:dyDescent="0.35">
      <c r="A121" s="25"/>
      <c r="B121" s="26"/>
      <c r="C121" s="51" t="str">
        <f t="shared" si="3"/>
        <v/>
      </c>
      <c r="D121" s="52" t="str">
        <f>IF(C121&lt;&gt;"",CONCATENATE(C121,"-",COUNTIF($C$4:C121,C121),""),"")</f>
        <v/>
      </c>
      <c r="E121" s="27"/>
      <c r="F121" s="27"/>
      <c r="G121" s="36"/>
      <c r="H121" s="36"/>
      <c r="I121" s="36"/>
      <c r="J121" s="36"/>
      <c r="K121" s="28"/>
    </row>
    <row r="122" spans="1:11" ht="293.25" customHeight="1" x14ac:dyDescent="0.35">
      <c r="A122" s="25"/>
      <c r="B122" s="26"/>
      <c r="C122" s="51" t="str">
        <f t="shared" si="3"/>
        <v/>
      </c>
      <c r="D122" s="52" t="str">
        <f>IF(C122&lt;&gt;"",CONCATENATE(C122,"-",COUNTIF($C$4:C122,C122),""),"")</f>
        <v/>
      </c>
      <c r="E122" s="27"/>
      <c r="F122" s="27"/>
      <c r="G122" s="36"/>
      <c r="H122" s="36"/>
      <c r="I122" s="36"/>
      <c r="J122" s="36"/>
      <c r="K122" s="28"/>
    </row>
    <row r="123" spans="1:11" ht="293.25" customHeight="1" x14ac:dyDescent="0.35">
      <c r="A123" s="25"/>
      <c r="B123" s="26"/>
      <c r="C123" s="51" t="str">
        <f t="shared" si="3"/>
        <v/>
      </c>
      <c r="D123" s="52" t="str">
        <f>IF(C123&lt;&gt;"",CONCATENATE(C123,"-",COUNTIF($C$4:C123,C123),""),"")</f>
        <v/>
      </c>
      <c r="E123" s="27"/>
      <c r="F123" s="27"/>
      <c r="G123" s="36"/>
      <c r="H123" s="36"/>
      <c r="I123" s="36"/>
      <c r="J123" s="36"/>
      <c r="K123" s="28"/>
    </row>
    <row r="124" spans="1:11" ht="293.25" customHeight="1" x14ac:dyDescent="0.35">
      <c r="A124" s="25"/>
      <c r="B124" s="26"/>
      <c r="C124" s="51" t="str">
        <f t="shared" si="3"/>
        <v/>
      </c>
      <c r="D124" s="52" t="str">
        <f>IF(C124&lt;&gt;"",CONCATENATE(C124,"-",COUNTIF($C$4:C124,C124),""),"")</f>
        <v/>
      </c>
      <c r="E124" s="27"/>
      <c r="F124" s="27"/>
      <c r="G124" s="36"/>
      <c r="H124" s="36"/>
      <c r="I124" s="36"/>
      <c r="J124" s="36"/>
      <c r="K124" s="28"/>
    </row>
    <row r="125" spans="1:11" ht="293.25" customHeight="1" x14ac:dyDescent="0.35">
      <c r="A125" s="25"/>
      <c r="B125" s="26"/>
      <c r="C125" s="51" t="str">
        <f t="shared" si="3"/>
        <v/>
      </c>
      <c r="D125" s="52" t="str">
        <f>IF(C125&lt;&gt;"",CONCATENATE(C125,"-",COUNTIF($C$4:C125,C125),""),"")</f>
        <v/>
      </c>
      <c r="E125" s="27"/>
      <c r="F125" s="27"/>
      <c r="G125" s="36"/>
      <c r="H125" s="36"/>
      <c r="I125" s="36"/>
      <c r="J125" s="36"/>
      <c r="K125" s="28"/>
    </row>
    <row r="126" spans="1:11" ht="293.25" customHeight="1" x14ac:dyDescent="0.35">
      <c r="A126" s="25"/>
      <c r="B126" s="26"/>
      <c r="C126" s="51" t="str">
        <f t="shared" si="3"/>
        <v/>
      </c>
      <c r="D126" s="52" t="str">
        <f>IF(C126&lt;&gt;"",CONCATENATE(C126,"-",COUNTIF($C$4:C126,C126),""),"")</f>
        <v/>
      </c>
      <c r="E126" s="27"/>
      <c r="F126" s="27"/>
      <c r="G126" s="36"/>
      <c r="H126" s="36"/>
      <c r="I126" s="36"/>
      <c r="J126" s="36"/>
      <c r="K126" s="28"/>
    </row>
    <row r="127" spans="1:11" ht="293.25" customHeight="1" x14ac:dyDescent="0.35">
      <c r="A127" s="25"/>
      <c r="B127" s="26"/>
      <c r="C127" s="51" t="str">
        <f t="shared" si="3"/>
        <v/>
      </c>
      <c r="D127" s="52" t="str">
        <f>IF(C127&lt;&gt;"",CONCATENATE(C127,"-",COUNTIF($C$4:C127,C127),""),"")</f>
        <v/>
      </c>
      <c r="E127" s="27"/>
      <c r="F127" s="27"/>
      <c r="G127" s="36"/>
      <c r="H127" s="36"/>
      <c r="I127" s="36"/>
      <c r="J127" s="36"/>
      <c r="K127" s="28"/>
    </row>
    <row r="128" spans="1:11" ht="293.25" customHeight="1" x14ac:dyDescent="0.35">
      <c r="A128" s="25"/>
      <c r="B128" s="26"/>
      <c r="C128" s="51" t="str">
        <f t="shared" si="3"/>
        <v/>
      </c>
      <c r="D128" s="52" t="str">
        <f>IF(C128&lt;&gt;"",CONCATENATE(C128,"-",COUNTIF($C$4:C128,C128),""),"")</f>
        <v/>
      </c>
      <c r="E128" s="27"/>
      <c r="F128" s="27"/>
      <c r="G128" s="36"/>
      <c r="H128" s="36"/>
      <c r="I128" s="36"/>
      <c r="J128" s="36"/>
      <c r="K128" s="28"/>
    </row>
    <row r="129" spans="1:11" ht="293.25" customHeight="1" x14ac:dyDescent="0.35">
      <c r="A129" s="25"/>
      <c r="B129" s="26"/>
      <c r="C129" s="51" t="str">
        <f t="shared" si="3"/>
        <v/>
      </c>
      <c r="D129" s="52" t="str">
        <f>IF(C129&lt;&gt;"",CONCATENATE(C129,"-",COUNTIF($C$4:C129,C129),""),"")</f>
        <v/>
      </c>
      <c r="E129" s="27"/>
      <c r="F129" s="27"/>
      <c r="G129" s="36"/>
      <c r="H129" s="36"/>
      <c r="I129" s="36"/>
      <c r="J129" s="36"/>
      <c r="K129" s="28"/>
    </row>
    <row r="130" spans="1:11" ht="293.25" customHeight="1" x14ac:dyDescent="0.35">
      <c r="A130" s="25"/>
      <c r="B130" s="26"/>
      <c r="C130" s="51" t="str">
        <f t="shared" si="3"/>
        <v/>
      </c>
      <c r="D130" s="52" t="str">
        <f>IF(C130&lt;&gt;"",CONCATENATE(C130,"-",COUNTIF($C$4:C130,C130),""),"")</f>
        <v/>
      </c>
      <c r="E130" s="27"/>
      <c r="F130" s="27"/>
      <c r="G130" s="36"/>
      <c r="H130" s="36"/>
      <c r="I130" s="36"/>
      <c r="J130" s="36"/>
      <c r="K130" s="28"/>
    </row>
    <row r="131" spans="1:11" ht="293.25" customHeight="1" x14ac:dyDescent="0.35">
      <c r="A131" s="25"/>
      <c r="B131" s="26"/>
      <c r="C131" s="51" t="str">
        <f t="shared" si="3"/>
        <v/>
      </c>
      <c r="D131" s="52" t="str">
        <f>IF(C131&lt;&gt;"",CONCATENATE(C131,"-",COUNTIF($C$4:C131,C131),""),"")</f>
        <v/>
      </c>
      <c r="E131" s="27"/>
      <c r="F131" s="27"/>
      <c r="G131" s="36"/>
      <c r="H131" s="36"/>
      <c r="I131" s="36"/>
      <c r="J131" s="36"/>
      <c r="K131" s="28"/>
    </row>
    <row r="132" spans="1:11" ht="293.25" customHeight="1" x14ac:dyDescent="0.35">
      <c r="A132" s="25"/>
      <c r="B132" s="26"/>
      <c r="C132" s="51" t="str">
        <f t="shared" si="3"/>
        <v/>
      </c>
      <c r="D132" s="52" t="str">
        <f>IF(C132&lt;&gt;"",CONCATENATE(C132,"-",COUNTIF($C$4:C132,C132),""),"")</f>
        <v/>
      </c>
      <c r="E132" s="27"/>
      <c r="F132" s="27"/>
      <c r="G132" s="36"/>
      <c r="H132" s="36"/>
      <c r="I132" s="36"/>
      <c r="J132" s="36"/>
      <c r="K132" s="28"/>
    </row>
    <row r="133" spans="1:11" ht="293.25" customHeight="1" x14ac:dyDescent="0.35">
      <c r="A133" s="25"/>
      <c r="B133" s="26"/>
      <c r="C133" s="51" t="str">
        <f t="shared" si="3"/>
        <v/>
      </c>
      <c r="D133" s="52" t="str">
        <f>IF(C133&lt;&gt;"",CONCATENATE(C133,"-",COUNTIF($C$4:C133,C133),""),"")</f>
        <v/>
      </c>
      <c r="E133" s="27"/>
      <c r="F133" s="27"/>
      <c r="G133" s="36"/>
      <c r="H133" s="36"/>
      <c r="I133" s="36"/>
      <c r="J133" s="36"/>
      <c r="K133" s="28"/>
    </row>
    <row r="134" spans="1:11" ht="293.25" customHeight="1" x14ac:dyDescent="0.35">
      <c r="A134" s="25"/>
      <c r="B134" s="26"/>
      <c r="C134" s="51" t="str">
        <f t="shared" si="3"/>
        <v/>
      </c>
      <c r="D134" s="52" t="str">
        <f>IF(C134&lt;&gt;"",CONCATENATE(C134,"-",COUNTIF($C$4:C134,C134),""),"")</f>
        <v/>
      </c>
      <c r="E134" s="27"/>
      <c r="F134" s="27"/>
      <c r="G134" s="36"/>
      <c r="H134" s="36"/>
      <c r="I134" s="36"/>
      <c r="J134" s="36"/>
      <c r="K134" s="28"/>
    </row>
    <row r="135" spans="1:11" ht="293.25" customHeight="1" x14ac:dyDescent="0.35">
      <c r="A135" s="25"/>
      <c r="B135" s="26"/>
      <c r="C135" s="51" t="str">
        <f t="shared" si="3"/>
        <v/>
      </c>
      <c r="D135" s="52" t="str">
        <f>IF(C135&lt;&gt;"",CONCATENATE(C135,"-",COUNTIF($C$4:C135,C135),""),"")</f>
        <v/>
      </c>
      <c r="E135" s="27"/>
      <c r="F135" s="27"/>
      <c r="G135" s="36"/>
      <c r="H135" s="36"/>
      <c r="I135" s="36"/>
      <c r="J135" s="36"/>
      <c r="K135" s="28"/>
    </row>
    <row r="136" spans="1:11" ht="293.25" customHeight="1" x14ac:dyDescent="0.35">
      <c r="A136" s="25"/>
      <c r="B136" s="26"/>
      <c r="C136" s="51" t="str">
        <f t="shared" si="3"/>
        <v/>
      </c>
      <c r="D136" s="52" t="str">
        <f>IF(C136&lt;&gt;"",CONCATENATE(C136,"-",COUNTIF($C$4:C136,C136),""),"")</f>
        <v/>
      </c>
      <c r="E136" s="27"/>
      <c r="F136" s="27"/>
      <c r="G136" s="36"/>
      <c r="H136" s="36"/>
      <c r="I136" s="36"/>
      <c r="J136" s="36"/>
      <c r="K136" s="28"/>
    </row>
    <row r="137" spans="1:11" ht="293.25" customHeight="1" x14ac:dyDescent="0.35">
      <c r="A137" s="25"/>
      <c r="B137" s="26"/>
      <c r="C137" s="51" t="str">
        <f t="shared" si="3"/>
        <v/>
      </c>
      <c r="D137" s="52" t="str">
        <f>IF(C137&lt;&gt;"",CONCATENATE(C137,"-",COUNTIF($C$4:C137,C137),""),"")</f>
        <v/>
      </c>
      <c r="E137" s="27"/>
      <c r="F137" s="27"/>
      <c r="G137" s="36"/>
      <c r="H137" s="36"/>
      <c r="I137" s="36"/>
      <c r="J137" s="36"/>
      <c r="K137" s="28"/>
    </row>
    <row r="138" spans="1:11" ht="293.25" customHeight="1" x14ac:dyDescent="0.35">
      <c r="A138" s="25"/>
      <c r="B138" s="26"/>
      <c r="C138" s="51" t="str">
        <f t="shared" si="3"/>
        <v/>
      </c>
      <c r="D138" s="52" t="str">
        <f>IF(C138&lt;&gt;"",CONCATENATE(C138,"-",COUNTIF($C$4:C138,C138),""),"")</f>
        <v/>
      </c>
      <c r="E138" s="27"/>
      <c r="F138" s="27"/>
      <c r="G138" s="36"/>
      <c r="H138" s="36"/>
      <c r="I138" s="36"/>
      <c r="J138" s="36"/>
      <c r="K138" s="28"/>
    </row>
    <row r="139" spans="1:11" ht="293.25" customHeight="1" x14ac:dyDescent="0.35">
      <c r="A139" s="25"/>
      <c r="B139" s="26"/>
      <c r="C139" s="51" t="str">
        <f t="shared" si="3"/>
        <v/>
      </c>
      <c r="D139" s="52" t="str">
        <f>IF(C139&lt;&gt;"",CONCATENATE(C139,"-",COUNTIF($C$4:C139,C139),""),"")</f>
        <v/>
      </c>
      <c r="E139" s="27"/>
      <c r="F139" s="27"/>
      <c r="G139" s="36"/>
      <c r="H139" s="36"/>
      <c r="I139" s="36"/>
      <c r="J139" s="36"/>
      <c r="K139" s="28"/>
    </row>
    <row r="140" spans="1:11" ht="293.25" customHeight="1" x14ac:dyDescent="0.35">
      <c r="A140" s="25"/>
      <c r="B140" s="26"/>
      <c r="C140" s="51" t="str">
        <f t="shared" si="3"/>
        <v/>
      </c>
      <c r="D140" s="52" t="str">
        <f>IF(C140&lt;&gt;"",CONCATENATE(C140,"-",COUNTIF($C$4:C140,C140),""),"")</f>
        <v/>
      </c>
      <c r="E140" s="27"/>
      <c r="F140" s="27"/>
      <c r="G140" s="36"/>
      <c r="H140" s="36"/>
      <c r="I140" s="36"/>
      <c r="J140" s="36"/>
      <c r="K140" s="28"/>
    </row>
    <row r="141" spans="1:11" ht="293.25" customHeight="1" x14ac:dyDescent="0.35">
      <c r="A141" s="25"/>
      <c r="B141" s="26"/>
      <c r="C141" s="51" t="str">
        <f t="shared" si="3"/>
        <v/>
      </c>
      <c r="D141" s="52" t="str">
        <f>IF(C141&lt;&gt;"",CONCATENATE(C141,"-",COUNTIF($C$4:C141,C141),""),"")</f>
        <v/>
      </c>
      <c r="E141" s="27"/>
      <c r="F141" s="27"/>
      <c r="G141" s="36"/>
      <c r="H141" s="36"/>
      <c r="I141" s="36"/>
      <c r="J141" s="36"/>
      <c r="K141" s="28"/>
    </row>
    <row r="142" spans="1:11" ht="293.25" customHeight="1" x14ac:dyDescent="0.35">
      <c r="A142" s="25"/>
      <c r="B142" s="26"/>
      <c r="C142" s="51" t="str">
        <f t="shared" si="3"/>
        <v/>
      </c>
      <c r="D142" s="52" t="str">
        <f>IF(C142&lt;&gt;"",CONCATENATE(C142,"-",COUNTIF($C$4:C142,C142),""),"")</f>
        <v/>
      </c>
      <c r="E142" s="27"/>
      <c r="F142" s="27"/>
      <c r="G142" s="36"/>
      <c r="H142" s="36"/>
      <c r="I142" s="36"/>
      <c r="J142" s="36"/>
      <c r="K142" s="28"/>
    </row>
    <row r="143" spans="1:11" ht="293.25" customHeight="1" x14ac:dyDescent="0.35">
      <c r="A143" s="25"/>
      <c r="B143" s="26"/>
      <c r="C143" s="51" t="str">
        <f t="shared" si="3"/>
        <v/>
      </c>
      <c r="D143" s="52" t="str">
        <f>IF(C143&lt;&gt;"",CONCATENATE(C143,"-",COUNTIF($C$4:C143,C143),""),"")</f>
        <v/>
      </c>
      <c r="E143" s="27"/>
      <c r="F143" s="27"/>
      <c r="G143" s="36"/>
      <c r="H143" s="36"/>
      <c r="I143" s="36"/>
      <c r="J143" s="36"/>
      <c r="K143" s="28"/>
    </row>
    <row r="144" spans="1:11" ht="293.25" customHeight="1" x14ac:dyDescent="0.35">
      <c r="A144" s="25"/>
      <c r="B144" s="26"/>
      <c r="C144" s="51" t="str">
        <f t="shared" si="3"/>
        <v/>
      </c>
      <c r="D144" s="52" t="str">
        <f>IF(C144&lt;&gt;"",CONCATENATE(C144,"-",COUNTIF($C$4:C144,C144),""),"")</f>
        <v/>
      </c>
      <c r="E144" s="27"/>
      <c r="F144" s="27"/>
      <c r="G144" s="36"/>
      <c r="H144" s="36"/>
      <c r="I144" s="36"/>
      <c r="J144" s="36"/>
      <c r="K144" s="28"/>
    </row>
    <row r="145" spans="1:11" ht="293.25" customHeight="1" x14ac:dyDescent="0.35">
      <c r="A145" s="25"/>
      <c r="B145" s="26"/>
      <c r="C145" s="51" t="str">
        <f t="shared" si="3"/>
        <v/>
      </c>
      <c r="D145" s="52" t="str">
        <f>IF(C145&lt;&gt;"",CONCATENATE(C145,"-",COUNTIF($C$4:C145,C145),""),"")</f>
        <v/>
      </c>
      <c r="E145" s="27"/>
      <c r="F145" s="27"/>
      <c r="G145" s="36"/>
      <c r="H145" s="36"/>
      <c r="I145" s="36"/>
      <c r="J145" s="36"/>
      <c r="K145" s="28"/>
    </row>
    <row r="146" spans="1:11" ht="293.25" customHeight="1" x14ac:dyDescent="0.35">
      <c r="A146" s="25"/>
      <c r="B146" s="26"/>
      <c r="C146" s="51" t="str">
        <f t="shared" si="3"/>
        <v/>
      </c>
      <c r="D146" s="52" t="str">
        <f>IF(C146&lt;&gt;"",CONCATENATE(C146,"-",COUNTIF($C$4:C146,C146),""),"")</f>
        <v/>
      </c>
      <c r="E146" s="27"/>
      <c r="F146" s="27"/>
      <c r="G146" s="36"/>
      <c r="H146" s="36"/>
      <c r="I146" s="36"/>
      <c r="J146" s="36"/>
      <c r="K146" s="28"/>
    </row>
    <row r="147" spans="1:11" ht="293.25" customHeight="1" x14ac:dyDescent="0.35">
      <c r="A147" s="25"/>
      <c r="B147" s="26"/>
      <c r="C147" s="51" t="str">
        <f t="shared" si="3"/>
        <v/>
      </c>
      <c r="D147" s="52" t="str">
        <f>IF(C147&lt;&gt;"",CONCATENATE(C147,"-",COUNTIF($C$4:C147,C147),""),"")</f>
        <v/>
      </c>
      <c r="E147" s="27"/>
      <c r="F147" s="27"/>
      <c r="G147" s="36"/>
      <c r="H147" s="36"/>
      <c r="I147" s="36"/>
      <c r="J147" s="36"/>
      <c r="K147" s="28"/>
    </row>
    <row r="148" spans="1:11" ht="293.25" customHeight="1" x14ac:dyDescent="0.35">
      <c r="A148" s="25"/>
      <c r="B148" s="26"/>
      <c r="C148" s="51" t="str">
        <f t="shared" si="3"/>
        <v/>
      </c>
      <c r="D148" s="52" t="str">
        <f>IF(C148&lt;&gt;"",CONCATENATE(C148,"-",COUNTIF($C$4:C148,C148),""),"")</f>
        <v/>
      </c>
      <c r="E148" s="27"/>
      <c r="F148" s="27"/>
      <c r="G148" s="36"/>
      <c r="H148" s="36"/>
      <c r="I148" s="36"/>
      <c r="J148" s="36"/>
      <c r="K148" s="28"/>
    </row>
    <row r="149" spans="1:11" ht="293.25" customHeight="1" x14ac:dyDescent="0.35">
      <c r="A149" s="25"/>
      <c r="B149" s="26"/>
      <c r="C149" s="51" t="str">
        <f t="shared" si="3"/>
        <v/>
      </c>
      <c r="D149" s="52" t="str">
        <f>IF(C149&lt;&gt;"",CONCATENATE(C149,"-",COUNTIF($C$4:C149,C149),""),"")</f>
        <v/>
      </c>
      <c r="E149" s="27"/>
      <c r="F149" s="27"/>
      <c r="G149" s="36"/>
      <c r="H149" s="36"/>
      <c r="I149" s="36"/>
      <c r="J149" s="36"/>
      <c r="K149" s="28"/>
    </row>
    <row r="150" spans="1:11" ht="293.25" customHeight="1" x14ac:dyDescent="0.35">
      <c r="A150" s="25"/>
      <c r="B150" s="26"/>
      <c r="C150" s="51" t="str">
        <f t="shared" si="3"/>
        <v/>
      </c>
      <c r="D150" s="52" t="str">
        <f>IF(C150&lt;&gt;"",CONCATENATE(C150,"-",COUNTIF($C$4:C150,C150),""),"")</f>
        <v/>
      </c>
      <c r="E150" s="27"/>
      <c r="F150" s="27"/>
      <c r="G150" s="36"/>
      <c r="H150" s="36"/>
      <c r="I150" s="36"/>
      <c r="J150" s="36"/>
      <c r="K150" s="28"/>
    </row>
    <row r="151" spans="1:11" ht="293.25" customHeight="1" x14ac:dyDescent="0.35">
      <c r="A151" s="25"/>
      <c r="B151" s="26"/>
      <c r="C151" s="51" t="str">
        <f t="shared" si="3"/>
        <v/>
      </c>
      <c r="D151" s="52" t="str">
        <f>IF(C151&lt;&gt;"",CONCATENATE(C151,"-",COUNTIF($C$4:C151,C151),""),"")</f>
        <v/>
      </c>
      <c r="E151" s="27"/>
      <c r="F151" s="27"/>
      <c r="G151" s="36"/>
      <c r="H151" s="36"/>
      <c r="I151" s="36"/>
      <c r="J151" s="36"/>
      <c r="K151" s="28"/>
    </row>
    <row r="152" spans="1:11" ht="293.25" customHeight="1" x14ac:dyDescent="0.35">
      <c r="A152" s="25"/>
      <c r="B152" s="26"/>
      <c r="C152" s="51" t="str">
        <f t="shared" si="3"/>
        <v/>
      </c>
      <c r="D152" s="52" t="str">
        <f>IF(C152&lt;&gt;"",CONCATENATE(C152,"-",COUNTIF($C$4:C152,C152),""),"")</f>
        <v/>
      </c>
      <c r="E152" s="27"/>
      <c r="F152" s="27"/>
      <c r="G152" s="36"/>
      <c r="H152" s="36"/>
      <c r="I152" s="36"/>
      <c r="J152" s="36"/>
      <c r="K152" s="28"/>
    </row>
    <row r="153" spans="1:11" ht="293.25" customHeight="1" x14ac:dyDescent="0.35">
      <c r="A153" s="25"/>
      <c r="B153" s="26"/>
      <c r="C153" s="51" t="str">
        <f t="shared" si="3"/>
        <v/>
      </c>
      <c r="D153" s="52" t="str">
        <f>IF(C153&lt;&gt;"",CONCATENATE(C153,"-",COUNTIF($C$4:C153,C153),""),"")</f>
        <v/>
      </c>
      <c r="E153" s="27"/>
      <c r="F153" s="27"/>
      <c r="G153" s="36"/>
      <c r="H153" s="36"/>
      <c r="I153" s="36"/>
      <c r="J153" s="36"/>
      <c r="K153" s="28"/>
    </row>
    <row r="154" spans="1:11" ht="293.25" customHeight="1" x14ac:dyDescent="0.3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336550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69850</xdr:colOff>
                    <xdr:row>0</xdr:row>
                    <xdr:rowOff>57150</xdr:rowOff>
                  </from>
                  <to>
                    <xdr:col>8</xdr:col>
                    <xdr:colOff>0</xdr:colOff>
                    <xdr:row>0</xdr:row>
                    <xdr:rowOff>336550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workbookViewId="0">
      <selection activeCell="B7" sqref="B7:C7"/>
    </sheetView>
  </sheetViews>
  <sheetFormatPr defaultRowHeight="14.5" x14ac:dyDescent="0.35"/>
  <cols>
    <col min="1" max="1" width="33.1796875" customWidth="1"/>
    <col min="2" max="3" width="33.54296875" customWidth="1"/>
  </cols>
  <sheetData>
    <row r="1" spans="1:6" ht="31" x14ac:dyDescent="0.7">
      <c r="A1" s="83" t="s">
        <v>64</v>
      </c>
      <c r="B1" s="83"/>
      <c r="C1" s="83"/>
    </row>
    <row r="3" spans="1:6" ht="24" customHeight="1" x14ac:dyDescent="0.35">
      <c r="A3" s="78" t="s">
        <v>35</v>
      </c>
      <c r="B3" s="79"/>
      <c r="C3" s="80"/>
    </row>
    <row r="4" spans="1:6" ht="2.25" customHeight="1" x14ac:dyDescent="0.35">
      <c r="A4" s="30"/>
      <c r="B4" s="41"/>
      <c r="C4" s="41"/>
    </row>
    <row r="5" spans="1:6" s="16" customFormat="1" ht="34.5" customHeight="1" x14ac:dyDescent="0.35">
      <c r="A5" s="42" t="s">
        <v>53</v>
      </c>
      <c r="B5" s="40" t="str">
        <f>KerntakenEnWerkprocessen!B4</f>
        <v>BF_AMO_AO16-B1-K1_3</v>
      </c>
      <c r="C5" s="44">
        <f>KerntakenEnWerkprocessen!B3</f>
        <v>42519</v>
      </c>
    </row>
    <row r="6" spans="1:6" s="16" customFormat="1" ht="23.25" customHeight="1" x14ac:dyDescent="0.35">
      <c r="A6" s="18" t="s">
        <v>36</v>
      </c>
      <c r="B6" s="84" t="s">
        <v>255</v>
      </c>
      <c r="C6" s="85"/>
    </row>
    <row r="7" spans="1:6" s="16" customFormat="1" ht="23.25" customHeight="1" x14ac:dyDescent="0.35">
      <c r="A7" s="18" t="s">
        <v>50</v>
      </c>
      <c r="B7" s="84" t="s">
        <v>257</v>
      </c>
      <c r="C7" s="85"/>
    </row>
    <row r="8" spans="1:6" s="16" customFormat="1" ht="23.25" customHeight="1" x14ac:dyDescent="0.35">
      <c r="A8" s="18" t="s">
        <v>51</v>
      </c>
      <c r="B8" s="84" t="s">
        <v>256</v>
      </c>
      <c r="C8" s="85"/>
    </row>
    <row r="9" spans="1:6" s="16" customFormat="1" ht="23.25" customHeight="1" x14ac:dyDescent="0.35">
      <c r="A9" s="18" t="s">
        <v>57</v>
      </c>
      <c r="B9" s="84" t="str">
        <f>KerntakenEnWerkprocessen!B9</f>
        <v>Applicatie- en mediaontwikkelaar, 4</v>
      </c>
      <c r="C9" s="85"/>
    </row>
    <row r="10" spans="1:6" s="16" customFormat="1" ht="23.25" customHeight="1" x14ac:dyDescent="0.35">
      <c r="A10" s="18" t="s">
        <v>56</v>
      </c>
      <c r="B10" s="84" t="str">
        <f>KerntakenEnWerkprocessen!B8</f>
        <v>Applicatieontwikkeling</v>
      </c>
      <c r="C10" s="85"/>
    </row>
    <row r="11" spans="1:6" s="16" customFormat="1" ht="23.25" customHeight="1" x14ac:dyDescent="0.35">
      <c r="A11" s="18" t="s">
        <v>52</v>
      </c>
      <c r="B11" s="22" t="str">
        <f>KerntakenEnWerkprocessen!C8</f>
        <v>2016 en verder</v>
      </c>
      <c r="C11" s="22">
        <f>KerntakenEnWerkprocessen!C9</f>
        <v>25187</v>
      </c>
    </row>
    <row r="12" spans="1:6" s="37" customFormat="1" ht="23.25" customHeight="1" x14ac:dyDescent="0.35">
      <c r="A12" s="38" t="s">
        <v>9</v>
      </c>
      <c r="B12" s="82" t="str">
        <f>KerntakenEnWerkprocessen!C5</f>
        <v>Levert een bijdrage aan het ontwikkeltraject</v>
      </c>
      <c r="C12" s="82"/>
    </row>
    <row r="13" spans="1:6" s="16" customFormat="1" ht="2.15" customHeight="1" x14ac:dyDescent="0.35">
      <c r="A13" s="30"/>
      <c r="B13" s="32"/>
      <c r="C13" s="33"/>
    </row>
    <row r="14" spans="1:6" ht="222.75" customHeight="1" x14ac:dyDescent="0.35">
      <c r="A14" s="31" t="s">
        <v>10</v>
      </c>
      <c r="B14" s="81" t="str">
        <f>KerntakenEnWerkprocessen!F2</f>
        <v xml:space="preserve">B1-K1-W1 Stelt de opdracht vast
B1-K1-W2 Levert een bijdrage aan het projectplan
B1-K1-W3 Levert een bijdrage aan het ontwerp
B1-K1-W4 Bereidt de realisatie voor 
</v>
      </c>
      <c r="C14" s="81"/>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67"/>
  <sheetViews>
    <sheetView showGridLines="0" topLeftCell="B9" workbookViewId="0">
      <selection activeCell="U29" sqref="U29"/>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72</v>
      </c>
      <c r="C1" s="56" t="str">
        <f>VLOOKUP(B1,werkprocessen,2,FALSE)</f>
        <v>Stelt de opdracht vast</v>
      </c>
    </row>
    <row r="2" spans="1:7" hidden="1" x14ac:dyDescent="0.35">
      <c r="A2" t="s">
        <v>26</v>
      </c>
      <c r="B2" s="6">
        <f>VLOOKUP(B1,KerntakenEnWerkprocessen!B13:E27,3,FALSE)</f>
        <v>1</v>
      </c>
    </row>
    <row r="3" spans="1:7" hidden="1" x14ac:dyDescent="0.35">
      <c r="A3" t="s">
        <v>27</v>
      </c>
      <c r="B3" s="6">
        <f>VLOOKUP(B1,KerntakenEnWerkprocessen!B13:E27,4,FALSE)</f>
        <v>1</v>
      </c>
    </row>
    <row r="4" spans="1:7" hidden="1" x14ac:dyDescent="0.35">
      <c r="A4" t="s">
        <v>32</v>
      </c>
      <c r="B4" s="6">
        <f>SUM(N:N)</f>
        <v>17</v>
      </c>
      <c r="C4" s="55" t="s">
        <v>66</v>
      </c>
      <c r="D4" s="54" t="b">
        <f>IF(SUM(O:O)&gt;0,TRUE,FALSE)</f>
        <v>0</v>
      </c>
    </row>
    <row r="5" spans="1:7" hidden="1" x14ac:dyDescent="0.35">
      <c r="A5" t="s">
        <v>31</v>
      </c>
      <c r="B5" s="6">
        <f>SUM(M:M)</f>
        <v>0</v>
      </c>
    </row>
    <row r="6" spans="1:7" hidden="1" x14ac:dyDescent="0.35">
      <c r="A6" t="s">
        <v>43</v>
      </c>
      <c r="B6" s="6">
        <f>COUNTIF(N:N,1)</f>
        <v>2</v>
      </c>
    </row>
    <row r="7" spans="1:7" hidden="1" x14ac:dyDescent="0.35">
      <c r="A7" t="s">
        <v>44</v>
      </c>
      <c r="B7" s="6">
        <f>COUNTIF(N:N,2)+COUNTIF(N:N,3)</f>
        <v>5</v>
      </c>
    </row>
    <row r="8" spans="1:7" hidden="1" x14ac:dyDescent="0.35">
      <c r="A8" t="s">
        <v>34</v>
      </c>
      <c r="B8" s="6">
        <f>0.5*B4</f>
        <v>8.5</v>
      </c>
    </row>
    <row r="10" spans="1:7" ht="36.75" customHeight="1" x14ac:dyDescent="0.7">
      <c r="B10" s="86" t="str">
        <f>CONCATENATE(kerntaakCode,": ",kerntaakNaam)</f>
        <v>B1-K1: Levert een bijdrage aan het ontwikkeltraject</v>
      </c>
      <c r="C10" s="86"/>
      <c r="D10" s="86"/>
      <c r="E10" s="86"/>
      <c r="F10" s="86"/>
      <c r="G10" s="86"/>
    </row>
    <row r="11" spans="1:7" ht="28.5" customHeight="1" x14ac:dyDescent="0.6">
      <c r="B11" s="87" t="str">
        <f>CONCATENATE(VLOOKUP(B1,werkprocessen,1,FALSE),": ",C1)</f>
        <v>B1-K1-W1: Stelt de opdracht vast</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5" t="s">
        <v>173</v>
      </c>
      <c r="C21" s="95"/>
      <c r="D21" s="95"/>
      <c r="E21" s="95"/>
      <c r="F21" s="95"/>
      <c r="G21" s="95"/>
    </row>
    <row r="22" spans="1:15" hidden="1" x14ac:dyDescent="0.35">
      <c r="A22" t="s">
        <v>174</v>
      </c>
      <c r="B22" s="59">
        <v>1</v>
      </c>
      <c r="D22" s="8" t="s">
        <v>175</v>
      </c>
      <c r="E22" s="60" t="s">
        <v>176</v>
      </c>
      <c r="G22" s="8" t="s">
        <v>177</v>
      </c>
      <c r="H22" s="59">
        <f>COUNTIF(Beheersingsniveaus!$C$4:$C$154,$E22)</f>
        <v>7</v>
      </c>
    </row>
    <row r="23" spans="1:15" x14ac:dyDescent="0.35">
      <c r="A23" t="s">
        <v>29</v>
      </c>
      <c r="B23" s="62" t="s">
        <v>178</v>
      </c>
      <c r="C23" s="62" t="s">
        <v>3</v>
      </c>
      <c r="D23" s="62">
        <v>0</v>
      </c>
      <c r="E23" s="62">
        <v>1</v>
      </c>
      <c r="F23" s="62">
        <v>2</v>
      </c>
      <c r="G23" s="62">
        <v>3</v>
      </c>
      <c r="H23" t="s">
        <v>8</v>
      </c>
      <c r="I23" t="s">
        <v>179</v>
      </c>
      <c r="J23" t="s">
        <v>180</v>
      </c>
      <c r="K23" t="s">
        <v>181</v>
      </c>
      <c r="L23" t="s">
        <v>182</v>
      </c>
      <c r="M23" t="s">
        <v>31</v>
      </c>
      <c r="N23" t="s">
        <v>32</v>
      </c>
      <c r="O23" t="s">
        <v>183</v>
      </c>
    </row>
    <row r="24" spans="1:15" ht="85" customHeight="1" x14ac:dyDescent="0.35">
      <c r="A24" s="63" t="s">
        <v>184</v>
      </c>
      <c r="B24" s="64" t="str">
        <f>VLOOKUP($A24,Beheersingsniveaus!$D$4:$K$154,2,FALSE)</f>
        <v>T1, T2</v>
      </c>
      <c r="C24" s="64" t="str">
        <f>CONCATENATE(VLOOKUP($A24,Beheersingsniveaus!$D$4:$K$154,3,FALSE),IF($H24=ja,"*",""))</f>
        <v>Voorbereiding</v>
      </c>
      <c r="D24" s="65" t="str">
        <f>VLOOKUP($A24,Beheersingsniveaus!$D$4:$K$154,4,FALSE)</f>
        <v xml:space="preserve">Heeft zich niet ingelezen en/of voorbereid op het gesprek.
</v>
      </c>
      <c r="E24" s="65" t="str">
        <f>VLOOKUP($A24,Beheersingsniveaus!$D$4:$K$154,5,FALSE)</f>
        <v>Heeft zich ingelezen en heeft zich voorbereid op gesprek.</v>
      </c>
      <c r="F24" s="66"/>
      <c r="G24" s="66"/>
      <c r="H24" s="59">
        <f>VLOOKUP($A24,Beheersingsniveaus!$D$4:$K$154,8,FALSE)</f>
        <v>0</v>
      </c>
      <c r="I24" s="59"/>
      <c r="J24" s="59"/>
      <c r="K24" s="59"/>
      <c r="L24" s="59"/>
      <c r="M24" s="59">
        <f t="shared" ref="M24:M30" si="0">IF(L24=TRUE,3,IF(K24=TRUE,2,IF(J24=TRUE,1,IF(I24=TRUE,0,0))))</f>
        <v>0</v>
      </c>
      <c r="N24" s="59">
        <f t="shared" ref="N24:N30" si="1">(4-COUNTBLANK(D24:G24))-1</f>
        <v>1</v>
      </c>
      <c r="O24" s="59">
        <f t="shared" ref="O24:O30" si="2">COUNTA(I24:L24)</f>
        <v>0</v>
      </c>
    </row>
    <row r="25" spans="1:15" ht="280" customHeight="1" x14ac:dyDescent="0.35">
      <c r="A25" s="63" t="s">
        <v>185</v>
      </c>
      <c r="B25" s="64" t="str">
        <f>VLOOKUP($A25,Beheersingsniveaus!$D$4:$K$154,2,FALSE)</f>
        <v>T1, T2</v>
      </c>
      <c r="C25" s="64" t="str">
        <f>CONCATENATE(VLOOKUP($A25,Beheersingsniveaus!$D$4:$K$154,3,FALSE),IF($H25=ja,"*",""))</f>
        <v>Gespreksvorm</v>
      </c>
      <c r="D25" s="65" t="str">
        <f>VLOOKUP($A25,Beheersingsniveaus!$D$4:$K$154,4,FALSE)</f>
        <v xml:space="preserve">Leidt het gesprek niet in.
Stelt wel vragen, maar vraagt niet door.
Gaat weinig in op wat de opdrachtgever zegt.
Vat aan het eind niet samen, en vertelt de vervolgprocedure niet.
</v>
      </c>
      <c r="E25" s="65" t="str">
        <f>VLOOKUP($A25,Beheersingsniveaus!$D$4:$K$154,5,FALSE)</f>
        <v xml:space="preserve">Leidt het gesprek in.
Stelt vragen en vraagt, indien nodig, in de meeste gevallen door.
Gaat in de meeste gevallen in op wat de opdrachtgever zegt en de reactie is niet altijd adequaat.
Vat aan het eind niet samen, en vertelt de vervolgprocedure niet.
</v>
      </c>
      <c r="F25" s="65" t="str">
        <f>VLOOKUP($A25,Beheersingsniveaus!$D$4:$K$154,6,FALSE)</f>
        <v>Leidt het gesprek in.
Stelt vragen en vraagt indien nodig door.
Gaat in op wat de opdrachtgever zegt en de reactie is bijna altijd adequaat.
Vat aan het eind samen, en vertelt de vervolgprocedure niet.</v>
      </c>
      <c r="G25" s="65" t="str">
        <f>VLOOKUP($A25,Beheersingsniveaus!$D$4:$K$154,7,FALSE)</f>
        <v>Leidt het gesprek in.
Stelt vragen en vraagt indien nodig door.
Gaat in op wat de opdrachtgever zegt en de reactie is altijd adequaat.
Vat aan het eind het gesprek samen, en vertelt de vervolgprocedure.</v>
      </c>
      <c r="H25" s="59">
        <f>VLOOKUP($A25,Beheersingsniveaus!$D$4:$K$154,8,FALSE)</f>
        <v>0</v>
      </c>
      <c r="I25" s="59"/>
      <c r="J25" s="59"/>
      <c r="K25" s="59"/>
      <c r="L25" s="59"/>
      <c r="M25" s="59">
        <f t="shared" si="0"/>
        <v>0</v>
      </c>
      <c r="N25" s="59">
        <f t="shared" si="1"/>
        <v>3</v>
      </c>
      <c r="O25" s="59">
        <f t="shared" si="2"/>
        <v>0</v>
      </c>
    </row>
    <row r="26" spans="1:15" ht="190" customHeight="1" x14ac:dyDescent="0.35">
      <c r="A26" s="63" t="s">
        <v>186</v>
      </c>
      <c r="B26" s="64" t="str">
        <f>VLOOKUP($A26,Beheersingsniveaus!$D$4:$K$154,2,FALSE)</f>
        <v>T1, T2</v>
      </c>
      <c r="C26" s="64" t="str">
        <f>CONCATENATE(VLOOKUP($A26,Beheersingsniveaus!$D$4:$K$154,3,FALSE),IF($H26=ja,"*",""))</f>
        <v>Gespreksinhoud</v>
      </c>
      <c r="D26" s="65" t="str">
        <f>VLOOKUP($A26,Beheersingsniveaus!$D$4:$K$154,4,FALSE)</f>
        <v>De vragen zijn in de meeste gevallen niet gerelateerd aan en/of niet relevant voor de opdracht.
Gebruikt veel vaktaal zonder dit uit te leggen.</v>
      </c>
      <c r="E26" s="65" t="str">
        <f>VLOOKUP($A26,Beheersingsniveaus!$D$4:$K$154,5,FALSE)</f>
        <v>De vragen zijn in de meeste gevallen gerelateerd aan of relevant voor de opdracht.
Gebruikt soms vaktaal en/of legt deze in de meeste gevallen niet begrijpelijk uit.</v>
      </c>
      <c r="F26" s="65" t="str">
        <f>VLOOKUP($A26,Beheersingsniveaus!$D$4:$K$154,6,FALSE)</f>
        <v xml:space="preserve">De vragen zijn in de meeste gevallen gerelateerd aan en relevant voor de opdracht.
Gebruikt weinig tot geen vaktaal en/of legt deze in de meeste gevallen begrijpelijk uit.
</v>
      </c>
      <c r="G26" s="65" t="str">
        <f>VLOOKUP($A26,Beheersingsniveaus!$D$4:$K$154,7,FALSE)</f>
        <v>De vragen zijn altijd gerelateerd aan en relevant voor de opdracht.
Gebruikt weinig tot geen vaktaal en legt deze begrijpelijk uit.</v>
      </c>
      <c r="H26" s="59">
        <f>VLOOKUP($A26,Beheersingsniveaus!$D$4:$K$154,8,FALSE)</f>
        <v>0</v>
      </c>
      <c r="I26" s="59"/>
      <c r="J26" s="59"/>
      <c r="K26" s="59"/>
      <c r="L26" s="59"/>
      <c r="M26" s="59">
        <f t="shared" si="0"/>
        <v>0</v>
      </c>
      <c r="N26" s="59">
        <f t="shared" si="1"/>
        <v>3</v>
      </c>
      <c r="O26" s="59">
        <f t="shared" si="2"/>
        <v>0</v>
      </c>
    </row>
    <row r="27" spans="1:15" ht="205" customHeight="1" x14ac:dyDescent="0.35">
      <c r="A27" s="63" t="s">
        <v>187</v>
      </c>
      <c r="B27" s="64" t="str">
        <f>VLOOKUP($A27,Beheersingsniveaus!$D$4:$K$154,2,FALSE)</f>
        <v>T3, T4, T5, T6</v>
      </c>
      <c r="C27" s="64" t="str">
        <f>CONCATENATE(VLOOKUP($A27,Beheersingsniveaus!$D$4:$K$154,3,FALSE),IF($H27=ja,"*",""))</f>
        <v>Inhoud Programma van Eisen*</v>
      </c>
      <c r="D27" s="65" t="str">
        <f>VLOOKUP($A27,Beheersingsniveaus!$D$4:$K$154,4,FALSE)</f>
        <v>De eisen in het PvE sluiten deels niet aan op de opdracht en/of een groot aantal eisen zijn niet beschreven.
Gebruikt veel vaktaal zonder dit uit te leggen.</v>
      </c>
      <c r="E27" s="65" t="str">
        <f>VLOOKUP($A27,Beheersingsniveaus!$D$4:$K$154,5,FALSE)</f>
        <v xml:space="preserve">De eisen in het PvE sluiten in de meeste gevallen aan op de opdracht, maar een klein aantal eisen zijn niet beschreven.
Gebruikt soms vaktaal en/of legt deze in de meeste gevallen niet begrijpelijk uit.
</v>
      </c>
      <c r="F27" s="65" t="str">
        <f>VLOOKUP($A27,Beheersingsniveaus!$D$4:$K$154,6,FALSE)</f>
        <v xml:space="preserve">De eisen in het PvE sluiten aan op de opdracht en een klein aantal eisen zijn niet beschreven.
Gebruikt weinig tot geen vaktaal en/of legt deze in de meeste gevallen begrijpelijk uit.
</v>
      </c>
      <c r="G27" s="65" t="str">
        <f>VLOOKUP($A27,Beheersingsniveaus!$D$4:$K$154,7,FALSE)</f>
        <v>Alle eisen in het PvE sluiten aan op de opdracht en zijn beschreven.
Gebruikt weinig tot geen vaktaal en legt deze begrijpelijk uit.</v>
      </c>
      <c r="H27" s="59" t="str">
        <f>VLOOKUP($A27,Beheersingsniveaus!$D$4:$K$154,8,FALSE)</f>
        <v>Ja</v>
      </c>
      <c r="I27" s="59"/>
      <c r="J27" s="59"/>
      <c r="K27" s="59"/>
      <c r="L27" s="59"/>
      <c r="M27" s="59">
        <f t="shared" si="0"/>
        <v>0</v>
      </c>
      <c r="N27" s="59">
        <f t="shared" si="1"/>
        <v>3</v>
      </c>
      <c r="O27" s="59">
        <f t="shared" si="2"/>
        <v>0</v>
      </c>
    </row>
    <row r="28" spans="1:15" ht="190" customHeight="1" x14ac:dyDescent="0.35">
      <c r="A28" s="63" t="s">
        <v>188</v>
      </c>
      <c r="B28" s="64" t="str">
        <f>VLOOKUP($A28,Beheersingsniveaus!$D$4:$K$154,2,FALSE)</f>
        <v>T3, T4, T5, T6</v>
      </c>
      <c r="C28" s="64" t="str">
        <f>CONCATENATE(VLOOKUP($A28,Beheersingsniveaus!$D$4:$K$154,3,FALSE),IF($H28=ja,"*",""))</f>
        <v>Vorm Programma van Eisen</v>
      </c>
      <c r="D28" s="65" t="str">
        <f>VLOOKUP($A28,Beheersingsniveaus!$D$4:$K$154,4,FALSE)</f>
        <v xml:space="preserve">Het PvE voldoet op de meeste punten niet aan de gevraagde onderdelen.
De onderdelen in het PvE zijn in een groot aantal gevallen niet begrijpelijk beschreven.
</v>
      </c>
      <c r="E28" s="65" t="str">
        <f>VLOOKUP($A28,Beheersingsniveaus!$D$4:$K$154,5,FALSE)</f>
        <v>Het PvE voldoet in de meeste gevallen aan de gevraagde onderdelen.
De onderdelen in het PvE zijn in de meeste gevallen begrijpelijk beschreven.</v>
      </c>
      <c r="F28" s="65" t="str">
        <f>VLOOKUP($A28,Beheersingsniveaus!$D$4:$K$154,6,FALSE)</f>
        <v>Het PvE voldoet aan de gevraagde onderdelen.
De onderdelen in het PvE zijn in de meeste gevallen begrijpelijk beschreven.</v>
      </c>
      <c r="G28" s="65" t="str">
        <f>VLOOKUP($A28,Beheersingsniveaus!$D$4:$K$154,7,FALSE)</f>
        <v>Het PvE voldoet aan de gevraagde onderdelen.
De onderdelen in het PvE zijn allemaal begrijpelijk beschreven.</v>
      </c>
      <c r="H28" s="59">
        <f>VLOOKUP($A28,Beheersingsniveaus!$D$4:$K$154,8,FALSE)</f>
        <v>0</v>
      </c>
      <c r="I28" s="59"/>
      <c r="J28" s="59"/>
      <c r="K28" s="59"/>
      <c r="L28" s="59"/>
      <c r="M28" s="59">
        <f t="shared" si="0"/>
        <v>0</v>
      </c>
      <c r="N28" s="59">
        <f t="shared" si="1"/>
        <v>3</v>
      </c>
      <c r="O28" s="59">
        <f t="shared" si="2"/>
        <v>0</v>
      </c>
    </row>
    <row r="29" spans="1:15" ht="190" customHeight="1" x14ac:dyDescent="0.35">
      <c r="A29" s="63" t="s">
        <v>189</v>
      </c>
      <c r="B29" s="64" t="str">
        <f>VLOOKUP($A29,Beheersingsniveaus!$D$4:$K$154,2,FALSE)</f>
        <v>T3, T4, T5, T6</v>
      </c>
      <c r="C29" s="64" t="str">
        <f>CONCATENATE(VLOOKUP($A29,Beheersingsniveaus!$D$4:$K$154,3,FALSE),IF($H29=ja,"*",""))</f>
        <v>Onderbouwing Programma van Eisen</v>
      </c>
      <c r="D29" s="65" t="str">
        <f>VLOOKUP($A29,Beheersingsniveaus!$D$4:$K$154,4,FALSE)</f>
        <v>Er is niet adequaat gebruikgemaakt van aanvullende bronnen en/of onderzoek.
(On)mogelijkheden en/of impact van het gevraagde zijn in het PvE niet beschreven.</v>
      </c>
      <c r="E29" s="65" t="str">
        <f>VLOOKUP($A29,Beheersingsniveaus!$D$4:$K$154,5,FALSE)</f>
        <v>Er is weinig adequaat gebruikgemaakt van aanvullende bronnen en/of onderzoek.
(On)mogelijkheden en/of impact van het gevraagde zijn niet volledig in het PvE beschreven.</v>
      </c>
      <c r="F29" s="65" t="str">
        <f>VLOOKUP($A29,Beheersingsniveaus!$D$4:$K$154,6,FALSE)</f>
        <v>Er is adequaat gebruikgemaakt van aanvullende bronnen en/of onderzoek.
(On)mogelijkheden en impact van het gevraagde zijn in het PvE in kaart gebracht en grotendeels volledig beschreven.</v>
      </c>
      <c r="G29" s="65" t="str">
        <f>VLOOKUP($A29,Beheersingsniveaus!$D$4:$K$154,7,FALSE)</f>
        <v>Er is adequaat gebruikgemaakt van aanvullende bronnen en/of onderzoek.
(On)mogelijkheden en impact van het gevraagde zijn in het PvE volledig beschreven.</v>
      </c>
      <c r="H29" s="59">
        <f>VLOOKUP($A29,Beheersingsniveaus!$D$4:$K$154,8,FALSE)</f>
        <v>0</v>
      </c>
      <c r="I29" s="59"/>
      <c r="J29" s="59"/>
      <c r="K29" s="59"/>
      <c r="L29" s="59"/>
      <c r="M29" s="59">
        <f t="shared" si="0"/>
        <v>0</v>
      </c>
      <c r="N29" s="59">
        <f t="shared" si="1"/>
        <v>3</v>
      </c>
      <c r="O29" s="59">
        <f t="shared" si="2"/>
        <v>0</v>
      </c>
    </row>
    <row r="30" spans="1:15" ht="130" customHeight="1" x14ac:dyDescent="0.35">
      <c r="A30" s="63" t="s">
        <v>190</v>
      </c>
      <c r="B30" s="64" t="str">
        <f>VLOOKUP($A30,Beheersingsniveaus!$D$4:$K$154,2,FALSE)</f>
        <v>T7</v>
      </c>
      <c r="C30" s="64" t="str">
        <f>CONCATENATE(VLOOKUP($A30,Beheersingsniveaus!$D$4:$K$154,3,FALSE),IF($H30=ja,"*",""))</f>
        <v>Communiceren Programma van Eisen</v>
      </c>
      <c r="D30" s="65" t="str">
        <f>VLOOKUP($A30,Beheersingsniveaus!$D$4:$K$154,4,FALSE)</f>
        <v xml:space="preserve">Het PvE wordt niet overgedragen of niet toegelicht.
Er wordt niet om goedkeuring gevraagd.
</v>
      </c>
      <c r="E30" s="65" t="str">
        <f>VLOOKUP($A30,Beheersingsniveaus!$D$4:$K$154,5,FALSE)</f>
        <v>Het PvE wordt overgedragen en toegelicht.
Er wordt om goedkeuring gevraagd.</v>
      </c>
      <c r="F30" s="66"/>
      <c r="G30" s="66"/>
      <c r="H30" s="59">
        <f>VLOOKUP($A30,Beheersingsniveaus!$D$4:$K$154,8,FALSE)</f>
        <v>0</v>
      </c>
      <c r="I30" s="59"/>
      <c r="J30" s="59"/>
      <c r="K30" s="59"/>
      <c r="L30" s="59"/>
      <c r="M30" s="59">
        <f t="shared" si="0"/>
        <v>0</v>
      </c>
      <c r="N30" s="59">
        <f t="shared" si="1"/>
        <v>1</v>
      </c>
      <c r="O30" s="59">
        <f t="shared" si="2"/>
        <v>0</v>
      </c>
    </row>
    <row r="31" spans="1:15" x14ac:dyDescent="0.35">
      <c r="B31" t="s">
        <v>191</v>
      </c>
    </row>
    <row r="32" spans="1:15" ht="28.5" customHeight="1" x14ac:dyDescent="0.6">
      <c r="B32" s="96" t="s">
        <v>192</v>
      </c>
      <c r="C32" s="97"/>
      <c r="D32" s="97"/>
      <c r="E32" s="97"/>
      <c r="F32" s="97"/>
      <c r="G32" s="97"/>
    </row>
    <row r="33" spans="1:10" ht="26.15" customHeight="1" x14ac:dyDescent="0.35">
      <c r="B33" s="67" t="s">
        <v>193</v>
      </c>
    </row>
    <row r="34" spans="1:10" hidden="1" x14ac:dyDescent="0.35">
      <c r="B34" t="s">
        <v>194</v>
      </c>
      <c r="C34" s="59">
        <f>COUNTIF($H:$H,ja)</f>
        <v>1</v>
      </c>
      <c r="D34" s="8" t="s">
        <v>195</v>
      </c>
      <c r="E34" s="60" t="b">
        <f>IF(COUNTIF(J34:J36,FALSE)=0,TRUE,FALSE)</f>
        <v>0</v>
      </c>
    </row>
    <row r="35" spans="1:10" x14ac:dyDescent="0.35">
      <c r="A35" t="s">
        <v>29</v>
      </c>
      <c r="B35" s="68" t="s">
        <v>196</v>
      </c>
      <c r="C35" s="68"/>
      <c r="D35" s="70" t="s">
        <v>197</v>
      </c>
      <c r="E35" s="71"/>
      <c r="H35" t="s">
        <v>198</v>
      </c>
      <c r="I35" t="s">
        <v>199</v>
      </c>
      <c r="J35" t="s">
        <v>200</v>
      </c>
    </row>
    <row r="36" spans="1:10" x14ac:dyDescent="0.35">
      <c r="A36" s="59" t="s">
        <v>187</v>
      </c>
      <c r="B36" t="str">
        <f>VLOOKUP($A36,Beheersingsniveaus!$D$3:$F$154,3,FALSE)</f>
        <v>Inhoud Programma van Eisen</v>
      </c>
      <c r="D36" s="69" t="str">
        <f>CONCATENATE(IF(VLOOKUP(A36,A21:N31,13,FALSE)&gt;0,"Behaald","Niet behaald"))</f>
        <v>Niet behaald</v>
      </c>
      <c r="J36" s="59" t="b">
        <f>IF(VLOOKUP($A36,$A$21:$N$31,13,FALSE)&gt;0,TRUE,FALSE)</f>
        <v>0</v>
      </c>
    </row>
    <row r="38" spans="1:10" ht="26.15" customHeight="1" x14ac:dyDescent="0.35">
      <c r="B38" s="67" t="s">
        <v>201</v>
      </c>
    </row>
    <row r="39" spans="1:10" x14ac:dyDescent="0.35">
      <c r="B39" s="68" t="s">
        <v>202</v>
      </c>
      <c r="C39" s="68" t="s">
        <v>203</v>
      </c>
      <c r="D39" s="71" t="s">
        <v>204</v>
      </c>
    </row>
    <row r="40" spans="1:10" x14ac:dyDescent="0.35">
      <c r="B40" s="69">
        <v>0</v>
      </c>
      <c r="C40" s="72">
        <f t="shared" ref="C40:C57" si="3">ROUNDUP(IF(B40&lt;$B$8,4.5/$B$8*B40+1,4.5/($B$4-$B$8)*(B40-$B$8)+5.5),1)</f>
        <v>1</v>
      </c>
      <c r="D40" s="61" t="str">
        <f t="shared" ref="D40:D57" si="4">IF($B40=$B$5,"X","")</f>
        <v>X</v>
      </c>
    </row>
    <row r="41" spans="1:10" x14ac:dyDescent="0.35">
      <c r="B41" s="69">
        <v>1</v>
      </c>
      <c r="C41" s="72">
        <f t="shared" si="3"/>
        <v>1.6</v>
      </c>
      <c r="D41" s="61" t="str">
        <f t="shared" si="4"/>
        <v/>
      </c>
    </row>
    <row r="42" spans="1:10" x14ac:dyDescent="0.35">
      <c r="B42" s="69">
        <v>2</v>
      </c>
      <c r="C42" s="72">
        <f t="shared" si="3"/>
        <v>2.1</v>
      </c>
      <c r="D42" s="61" t="str">
        <f t="shared" si="4"/>
        <v/>
      </c>
    </row>
    <row r="43" spans="1:10" x14ac:dyDescent="0.35">
      <c r="B43" s="69">
        <v>3</v>
      </c>
      <c r="C43" s="72">
        <f t="shared" si="3"/>
        <v>2.6</v>
      </c>
      <c r="D43" s="61" t="str">
        <f t="shared" si="4"/>
        <v/>
      </c>
    </row>
    <row r="44" spans="1:10" x14ac:dyDescent="0.35">
      <c r="B44" s="69">
        <v>4</v>
      </c>
      <c r="C44" s="72">
        <f t="shared" si="3"/>
        <v>3.2</v>
      </c>
      <c r="D44" s="61" t="str">
        <f t="shared" si="4"/>
        <v/>
      </c>
    </row>
    <row r="45" spans="1:10" x14ac:dyDescent="0.35">
      <c r="B45" s="69">
        <v>5</v>
      </c>
      <c r="C45" s="72">
        <f t="shared" si="3"/>
        <v>3.7</v>
      </c>
      <c r="D45" s="61" t="str">
        <f t="shared" si="4"/>
        <v/>
      </c>
    </row>
    <row r="46" spans="1:10" x14ac:dyDescent="0.35">
      <c r="B46" s="69">
        <v>6</v>
      </c>
      <c r="C46" s="72">
        <f t="shared" si="3"/>
        <v>4.1999999999999993</v>
      </c>
      <c r="D46" s="61" t="str">
        <f t="shared" si="4"/>
        <v/>
      </c>
    </row>
    <row r="47" spans="1:10" x14ac:dyDescent="0.35">
      <c r="B47" s="69">
        <v>7</v>
      </c>
      <c r="C47" s="72">
        <f t="shared" si="3"/>
        <v>4.8</v>
      </c>
      <c r="D47" s="61" t="str">
        <f t="shared" si="4"/>
        <v/>
      </c>
    </row>
    <row r="48" spans="1:10" x14ac:dyDescent="0.35">
      <c r="B48" s="69">
        <v>8</v>
      </c>
      <c r="C48" s="72">
        <f t="shared" si="3"/>
        <v>5.3</v>
      </c>
      <c r="D48" s="61" t="str">
        <f t="shared" si="4"/>
        <v/>
      </c>
    </row>
    <row r="49" spans="2:7" x14ac:dyDescent="0.35">
      <c r="B49" s="69">
        <v>9</v>
      </c>
      <c r="C49" s="72">
        <f t="shared" si="3"/>
        <v>5.8</v>
      </c>
      <c r="D49" s="61" t="str">
        <f t="shared" si="4"/>
        <v/>
      </c>
    </row>
    <row r="50" spans="2:7" x14ac:dyDescent="0.35">
      <c r="B50" s="69">
        <v>10</v>
      </c>
      <c r="C50" s="72">
        <f t="shared" si="3"/>
        <v>6.3</v>
      </c>
      <c r="D50" s="61" t="str">
        <f t="shared" si="4"/>
        <v/>
      </c>
    </row>
    <row r="51" spans="2:7" x14ac:dyDescent="0.35">
      <c r="B51" s="69">
        <v>11</v>
      </c>
      <c r="C51" s="72">
        <f t="shared" si="3"/>
        <v>6.8999999999999995</v>
      </c>
      <c r="D51" s="61" t="str">
        <f t="shared" si="4"/>
        <v/>
      </c>
    </row>
    <row r="52" spans="2:7" x14ac:dyDescent="0.35">
      <c r="B52" s="69">
        <v>12</v>
      </c>
      <c r="C52" s="72">
        <f t="shared" si="3"/>
        <v>7.3999999999999995</v>
      </c>
      <c r="D52" s="61" t="str">
        <f t="shared" si="4"/>
        <v/>
      </c>
    </row>
    <row r="53" spans="2:7" x14ac:dyDescent="0.35">
      <c r="B53" s="69">
        <v>13</v>
      </c>
      <c r="C53" s="72">
        <f t="shared" si="3"/>
        <v>7.8999999999999995</v>
      </c>
      <c r="D53" s="61" t="str">
        <f t="shared" si="4"/>
        <v/>
      </c>
    </row>
    <row r="54" spans="2:7" x14ac:dyDescent="0.35">
      <c r="B54" s="69">
        <v>14</v>
      </c>
      <c r="C54" s="72">
        <f t="shared" si="3"/>
        <v>8.5</v>
      </c>
      <c r="D54" s="61" t="str">
        <f t="shared" si="4"/>
        <v/>
      </c>
    </row>
    <row r="55" spans="2:7" x14ac:dyDescent="0.35">
      <c r="B55" s="69">
        <v>15</v>
      </c>
      <c r="C55" s="72">
        <f t="shared" si="3"/>
        <v>9</v>
      </c>
      <c r="D55" s="61" t="str">
        <f t="shared" si="4"/>
        <v/>
      </c>
    </row>
    <row r="56" spans="2:7" x14ac:dyDescent="0.35">
      <c r="B56" s="69">
        <v>16</v>
      </c>
      <c r="C56" s="72">
        <f t="shared" si="3"/>
        <v>9.5</v>
      </c>
      <c r="D56" s="61" t="str">
        <f t="shared" si="4"/>
        <v/>
      </c>
    </row>
    <row r="57" spans="2:7" x14ac:dyDescent="0.35">
      <c r="B57" s="69">
        <v>17</v>
      </c>
      <c r="C57" s="72">
        <f t="shared" si="3"/>
        <v>10</v>
      </c>
      <c r="D57" s="61" t="str">
        <f t="shared" si="4"/>
        <v/>
      </c>
    </row>
    <row r="59" spans="2:7" ht="26.15" customHeight="1" x14ac:dyDescent="0.35">
      <c r="B59" s="67" t="s">
        <v>205</v>
      </c>
    </row>
    <row r="60" spans="2:7" x14ac:dyDescent="0.35">
      <c r="B60" t="s">
        <v>206</v>
      </c>
    </row>
    <row r="61" spans="2:7" ht="35.15" customHeight="1" x14ac:dyDescent="0.35">
      <c r="B61" s="98" t="s">
        <v>207</v>
      </c>
      <c r="C61" s="98"/>
      <c r="D61" s="98"/>
      <c r="E61" s="98"/>
      <c r="F61" s="98"/>
      <c r="G61" s="98"/>
    </row>
    <row r="62" spans="2:7" ht="300" customHeight="1" x14ac:dyDescent="0.35">
      <c r="B62" s="92"/>
      <c r="C62" s="92"/>
      <c r="D62" s="92"/>
      <c r="E62" s="92"/>
      <c r="F62" s="92"/>
      <c r="G62" s="92"/>
    </row>
    <row r="64" spans="2:7" ht="26.15" customHeight="1" x14ac:dyDescent="0.35">
      <c r="B64" s="67" t="s">
        <v>208</v>
      </c>
    </row>
    <row r="65" spans="2:4" ht="25" customHeight="1" x14ac:dyDescent="0.35">
      <c r="B65" s="19" t="s">
        <v>209</v>
      </c>
    </row>
    <row r="66" spans="2:4" ht="90" customHeight="1" x14ac:dyDescent="0.35">
      <c r="B66" s="73" t="s">
        <v>19</v>
      </c>
      <c r="C66" s="93"/>
      <c r="D66" s="93"/>
    </row>
    <row r="67" spans="2:4" ht="90" customHeight="1" x14ac:dyDescent="0.35">
      <c r="B67" s="74" t="s">
        <v>20</v>
      </c>
      <c r="C67" s="94"/>
      <c r="D67" s="94"/>
    </row>
  </sheetData>
  <mergeCells count="9">
    <mergeCell ref="B62:G62"/>
    <mergeCell ref="C66:D66"/>
    <mergeCell ref="C67:D67"/>
    <mergeCell ref="B10:G10"/>
    <mergeCell ref="B11:G11"/>
    <mergeCell ref="B13:G13"/>
    <mergeCell ref="B21:G21"/>
    <mergeCell ref="B32:G32"/>
    <mergeCell ref="B61:G61"/>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28:G28">
    <cfRule type="expression" dxfId="25" priority="5" stopIfTrue="1">
      <formula>COUNTIF($I28:$L28,TRUE)&gt;1</formula>
    </cfRule>
  </conditionalFormatting>
  <conditionalFormatting sqref="B29:G29">
    <cfRule type="expression" dxfId="24" priority="6" stopIfTrue="1">
      <formula>COUNTIF($I29:$L29,TRUE)&gt;1</formula>
    </cfRule>
  </conditionalFormatting>
  <conditionalFormatting sqref="B30:G30">
    <cfRule type="expression" dxfId="23" priority="7" stopIfTrue="1">
      <formula>COUNTIF($I30:$L30,TRUE)&gt;1</formula>
    </cfRule>
  </conditionalFormatting>
  <conditionalFormatting sqref="B40:C57">
    <cfRule type="expression" dxfId="22" priority="8" stopIfTrue="1">
      <formula>$E$34=FALSE</formula>
    </cfRule>
  </conditionalFormatting>
  <conditionalFormatting sqref="D39:D57">
    <cfRule type="expression" dxfId="21" priority="9" stopIfTrue="1">
      <formula>$E$34=FALSE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5</xdr:col>
                    <xdr:colOff>0</xdr:colOff>
                    <xdr:row>27</xdr:row>
                    <xdr:rowOff>0</xdr:rowOff>
                  </from>
                  <to>
                    <xdr:col>6</xdr:col>
                    <xdr:colOff>0</xdr:colOff>
                    <xdr:row>27</xdr:row>
                    <xdr:rowOff>209550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6</xdr:col>
                    <xdr:colOff>0</xdr:colOff>
                    <xdr:row>27</xdr:row>
                    <xdr:rowOff>0</xdr:rowOff>
                  </from>
                  <to>
                    <xdr:col>7</xdr:col>
                    <xdr:colOff>0</xdr:colOff>
                    <xdr:row>27</xdr:row>
                    <xdr:rowOff>209550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9'">
                <anchor moveWithCells="1">
                  <from>
                    <xdr:col>3</xdr:col>
                    <xdr:colOff>0</xdr:colOff>
                    <xdr:row>28</xdr:row>
                    <xdr:rowOff>0</xdr:rowOff>
                  </from>
                  <to>
                    <xdr:col>4</xdr:col>
                    <xdr:colOff>0</xdr:colOff>
                    <xdr:row>28</xdr:row>
                    <xdr:rowOff>209550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9'">
                <anchor moveWithCells="1">
                  <from>
                    <xdr:col>4</xdr:col>
                    <xdr:colOff>0</xdr:colOff>
                    <xdr:row>28</xdr:row>
                    <xdr:rowOff>0</xdr:rowOff>
                  </from>
                  <to>
                    <xdr:col>5</xdr:col>
                    <xdr:colOff>0</xdr:colOff>
                    <xdr:row>28</xdr:row>
                    <xdr:rowOff>209550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5</xdr:col>
                    <xdr:colOff>0</xdr:colOff>
                    <xdr:row>28</xdr:row>
                    <xdr:rowOff>0</xdr:rowOff>
                  </from>
                  <to>
                    <xdr:col>6</xdr:col>
                    <xdr:colOff>0</xdr:colOff>
                    <xdr:row>28</xdr:row>
                    <xdr:rowOff>209550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6</xdr:col>
                    <xdr:colOff>0</xdr:colOff>
                    <xdr:row>28</xdr:row>
                    <xdr:rowOff>0</xdr:rowOff>
                  </from>
                  <to>
                    <xdr:col>7</xdr:col>
                    <xdr:colOff>0</xdr:colOff>
                    <xdr:row>28</xdr:row>
                    <xdr:rowOff>209550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30'">
                <anchor moveWithCells="1">
                  <from>
                    <xdr:col>3</xdr:col>
                    <xdr:colOff>0</xdr:colOff>
                    <xdr:row>29</xdr:row>
                    <xdr:rowOff>0</xdr:rowOff>
                  </from>
                  <to>
                    <xdr:col>4</xdr:col>
                    <xdr:colOff>0</xdr:colOff>
                    <xdr:row>29</xdr:row>
                    <xdr:rowOff>209550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30'">
                <anchor moveWithCells="1">
                  <from>
                    <xdr:col>4</xdr:col>
                    <xdr:colOff>0</xdr:colOff>
                    <xdr:row>29</xdr:row>
                    <xdr:rowOff>0</xdr:rowOff>
                  </from>
                  <to>
                    <xdr:col>5</xdr:col>
                    <xdr:colOff>0</xdr:colOff>
                    <xdr:row>29</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2"/>
  <sheetViews>
    <sheetView showGridLines="0" topLeftCell="B26" workbookViewId="0">
      <selection activeCell="D26" sqref="D26"/>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73</v>
      </c>
      <c r="C1" s="56" t="str">
        <f>VLOOKUP(B1,werkprocessen,2,FALSE)</f>
        <v>Levert een bijdrage aan het projectplan</v>
      </c>
    </row>
    <row r="2" spans="1:7" hidden="1" x14ac:dyDescent="0.35">
      <c r="A2" t="s">
        <v>26</v>
      </c>
      <c r="B2" s="6">
        <f>VLOOKUP(B1,KerntakenEnWerkprocessen!B13:E27,3,FALSE)</f>
        <v>2</v>
      </c>
    </row>
    <row r="3" spans="1:7" hidden="1" x14ac:dyDescent="0.35">
      <c r="A3" t="s">
        <v>27</v>
      </c>
      <c r="B3" s="6">
        <f>VLOOKUP(B1,KerntakenEnWerkprocessen!B13:E27,4,FALSE)</f>
        <v>2</v>
      </c>
    </row>
    <row r="4" spans="1:7" hidden="1" x14ac:dyDescent="0.35">
      <c r="A4" t="s">
        <v>32</v>
      </c>
      <c r="B4" s="6">
        <f>SUM(N:N)</f>
        <v>10</v>
      </c>
      <c r="C4" s="55" t="s">
        <v>66</v>
      </c>
      <c r="D4" s="54" t="b">
        <f>IF(SUM(O:O)&gt;0,TRUE,FALSE)</f>
        <v>0</v>
      </c>
    </row>
    <row r="5" spans="1:7" hidden="1" x14ac:dyDescent="0.35">
      <c r="A5" t="s">
        <v>31</v>
      </c>
      <c r="B5" s="6">
        <f>SUM(M:M)</f>
        <v>0</v>
      </c>
    </row>
    <row r="6" spans="1:7" hidden="1" x14ac:dyDescent="0.35">
      <c r="A6" t="s">
        <v>43</v>
      </c>
      <c r="B6" s="6">
        <f>COUNTIF(N:N,1)</f>
        <v>1</v>
      </c>
    </row>
    <row r="7" spans="1:7" hidden="1" x14ac:dyDescent="0.35">
      <c r="A7" t="s">
        <v>44</v>
      </c>
      <c r="B7" s="6">
        <f>COUNTIF(N:N,2)+COUNTIF(N:N,3)</f>
        <v>3</v>
      </c>
    </row>
    <row r="8" spans="1:7" hidden="1" x14ac:dyDescent="0.35">
      <c r="A8" t="s">
        <v>34</v>
      </c>
      <c r="B8" s="6">
        <f>0.5*B4</f>
        <v>5</v>
      </c>
    </row>
    <row r="10" spans="1:7" ht="36.75" customHeight="1" x14ac:dyDescent="0.7">
      <c r="B10" s="86" t="str">
        <f>CONCATENATE(kerntaakCode,": ",kerntaakNaam)</f>
        <v>B1-K1: Levert een bijdrage aan het ontwikkeltraject</v>
      </c>
      <c r="C10" s="86"/>
      <c r="D10" s="86"/>
      <c r="E10" s="86"/>
      <c r="F10" s="86"/>
      <c r="G10" s="86"/>
    </row>
    <row r="11" spans="1:7" ht="28.5" customHeight="1" x14ac:dyDescent="0.6">
      <c r="B11" s="87" t="str">
        <f>CONCATENATE(VLOOKUP(B1,werkprocessen,1,FALSE),": ",C1)</f>
        <v>B1-K1-W2: Levert een bijdrage aan het projectplan</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5" t="s">
        <v>210</v>
      </c>
      <c r="C21" s="95"/>
      <c r="D21" s="95"/>
      <c r="E21" s="95"/>
      <c r="F21" s="95"/>
      <c r="G21" s="95"/>
    </row>
    <row r="22" spans="1:15" hidden="1" x14ac:dyDescent="0.35">
      <c r="A22" t="s">
        <v>174</v>
      </c>
      <c r="B22" s="59">
        <v>2</v>
      </c>
      <c r="D22" s="8" t="s">
        <v>175</v>
      </c>
      <c r="E22" s="60" t="s">
        <v>211</v>
      </c>
      <c r="G22" s="8" t="s">
        <v>177</v>
      </c>
      <c r="H22" s="59">
        <f>COUNTIF(Beheersingsniveaus!$C$4:$C$154,$E22)</f>
        <v>4</v>
      </c>
    </row>
    <row r="23" spans="1:15" x14ac:dyDescent="0.35">
      <c r="A23" t="s">
        <v>29</v>
      </c>
      <c r="B23" s="62" t="s">
        <v>178</v>
      </c>
      <c r="C23" s="62" t="s">
        <v>3</v>
      </c>
      <c r="D23" s="62">
        <v>0</v>
      </c>
      <c r="E23" s="62">
        <v>1</v>
      </c>
      <c r="F23" s="62">
        <v>2</v>
      </c>
      <c r="G23" s="62">
        <v>3</v>
      </c>
      <c r="H23" t="s">
        <v>8</v>
      </c>
      <c r="I23" t="s">
        <v>179</v>
      </c>
      <c r="J23" t="s">
        <v>180</v>
      </c>
      <c r="K23" t="s">
        <v>181</v>
      </c>
      <c r="L23" t="s">
        <v>182</v>
      </c>
      <c r="M23" t="s">
        <v>31</v>
      </c>
      <c r="N23" t="s">
        <v>32</v>
      </c>
      <c r="O23" t="s">
        <v>183</v>
      </c>
    </row>
    <row r="24" spans="1:15" ht="115" customHeight="1" x14ac:dyDescent="0.35">
      <c r="A24" s="63" t="s">
        <v>212</v>
      </c>
      <c r="B24" s="64" t="str">
        <f>VLOOKUP($A24,Beheersingsniveaus!$D$4:$K$154,2,FALSE)</f>
        <v>T1, T2, T3, T4</v>
      </c>
      <c r="C24" s="64" t="str">
        <f>CONCATENATE(VLOOKUP($A24,Beheersingsniveaus!$D$4:$K$154,3,FALSE),IF($H24=ja,"*",""))</f>
        <v>Project-doelstellingen</v>
      </c>
      <c r="D24" s="65" t="str">
        <f>VLOOKUP($A24,Beheersingsniveaus!$D$4:$K$154,4,FALSE)</f>
        <v>De project-doelstellingen zijn niet in lijn met de opdracht, duidelijk en/of haalbaar.</v>
      </c>
      <c r="E24" s="65" t="str">
        <f>VLOOKUP($A24,Beheersingsniveaus!$D$4:$K$154,5,FALSE)</f>
        <v>De project-doelstellingen zijn in de meeste gevallen in lijn met de opdracht en óf duidelijk óf haalbaar.</v>
      </c>
      <c r="F24" s="65" t="str">
        <f>VLOOKUP($A24,Beheersingsniveaus!$D$4:$K$154,6,FALSE)</f>
        <v>De project-doelstellingen zijn in de meeste gevallen in lijn met de opdracht, duidelijk en haalbaar.</v>
      </c>
      <c r="G24" s="65" t="str">
        <f>VLOOKUP($A24,Beheersingsniveaus!$D$4:$K$154,7,FALSE)</f>
        <v>De project-doelstellingen zijn in lijn met de opdracht, duidelijk en haalbaar.</v>
      </c>
      <c r="H24" s="59">
        <f>VLOOKUP($A24,Beheersingsniveaus!$D$4:$K$154,8,FALSE)</f>
        <v>0</v>
      </c>
      <c r="I24" s="59"/>
      <c r="J24" s="59"/>
      <c r="K24" s="59"/>
      <c r="L24" s="59"/>
      <c r="M24" s="59">
        <f>IF(L24=TRUE,3,IF(K24=TRUE,2,IF(J24=TRUE,1,IF(I24=TRUE,0,0))))</f>
        <v>0</v>
      </c>
      <c r="N24" s="59">
        <f>(4-COUNTBLANK(D24:G24))-1</f>
        <v>3</v>
      </c>
      <c r="O24" s="59">
        <f>COUNTA(I24:L24)</f>
        <v>0</v>
      </c>
    </row>
    <row r="25" spans="1:15" ht="280" customHeight="1" x14ac:dyDescent="0.35">
      <c r="A25" s="63" t="s">
        <v>213</v>
      </c>
      <c r="B25" s="64" t="str">
        <f>VLOOKUP($A25,Beheersingsniveaus!$D$4:$K$154,2,FALSE)</f>
        <v>T1, T2, T3, T4</v>
      </c>
      <c r="C25" s="64" t="str">
        <f>CONCATENATE(VLOOKUP($A25,Beheersingsniveaus!$D$4:$K$154,3,FALSE),IF($H25=ja,"*",""))</f>
        <v>Projectactiviteiten</v>
      </c>
      <c r="D25" s="65" t="str">
        <f>VLOOKUP($A25,Beheersingsniveaus!$D$4:$K$154,4,FALSE)</f>
        <v>De werkzaamheden zijn onvolledig, incorrect of onoverzichtelijk weergegeven.
En/of de inzet en middelen voor de werkzaamheden zijn niet of onduidelijk benoemd.
En/of de ontwikkelmethode is niet benoemd.</v>
      </c>
      <c r="E25" s="65" t="str">
        <f>VLOOKUP($A25,Beheersingsniveaus!$D$4:$K$154,5,FALSE)</f>
        <v>De werkzaamheden zijn in de meeste gevallen volledig, correct en overzichtelijk weergegeven.
De inzet en middelen voor de werkzaamheden zijn in de meeste gevallen duidelijk benoemd.
De ontwikkelmethode is benoemd.</v>
      </c>
      <c r="F25" s="65" t="str">
        <f>VLOOKUP($A25,Beheersingsniveaus!$D$4:$K$154,6,FALSE)</f>
        <v xml:space="preserve">De werkzaamheden zijn volledig en in de meeste gevallen correct en overzichtelijk weergegeven.
De inzet en middelen voor de werkzaamheden zijn in de meeste gevallen duidelijk benoemd.
De ontwikkelmethode is benoemd.
</v>
      </c>
      <c r="G25" s="65" t="str">
        <f>VLOOKUP($A25,Beheersingsniveaus!$D$4:$K$154,7,FALSE)</f>
        <v>De werkzaamheden zijn volledig, correct en overzichtelijk weergegeven.
De inzet en middelen voor de werkzaamheden zijn duidelijk benoemd.
De ontwikkelmethode is benoemd.</v>
      </c>
      <c r="H25" s="59">
        <f>VLOOKUP($A25,Beheersingsniveaus!$D$4:$K$154,8,FALSE)</f>
        <v>0</v>
      </c>
      <c r="I25" s="59"/>
      <c r="J25" s="59"/>
      <c r="K25" s="59"/>
      <c r="L25" s="59"/>
      <c r="M25" s="59">
        <f>IF(L25=TRUE,3,IF(K25=TRUE,2,IF(J25=TRUE,1,IF(I25=TRUE,0,0))))</f>
        <v>0</v>
      </c>
      <c r="N25" s="59">
        <f>(4-COUNTBLANK(D25:G25))-1</f>
        <v>3</v>
      </c>
      <c r="O25" s="59">
        <f>COUNTA(I25:L25)</f>
        <v>0</v>
      </c>
    </row>
    <row r="26" spans="1:15" ht="115" customHeight="1" x14ac:dyDescent="0.35">
      <c r="A26" s="63" t="s">
        <v>214</v>
      </c>
      <c r="B26" s="64" t="str">
        <f>VLOOKUP($A26,Beheersingsniveaus!$D$4:$K$154,2,FALSE)</f>
        <v>T1, T2, T3, T4</v>
      </c>
      <c r="C26" s="64" t="str">
        <f>CONCATENATE(VLOOKUP($A26,Beheersingsniveaus!$D$4:$K$154,3,FALSE),IF($H26=ja,"*",""))</f>
        <v>Planning</v>
      </c>
      <c r="D26" s="65" t="str">
        <f>VLOOKUP($A26,Beheersingsniveaus!$D$4:$K$154,4,FALSE)</f>
        <v>De planning, inclusief voortgangsgesprek-ken, is niet volledig, realistisch, chronologisch en/of overzichtelijk.</v>
      </c>
      <c r="E26" s="65" t="str">
        <f>VLOOKUP($A26,Beheersingsniveaus!$D$4:$K$154,5,FALSE)</f>
        <v>De planning, inclusief voortgangsgesprek-ken, is volledig en realistisch, maar niet chronologisch en/of overzichtelijk.</v>
      </c>
      <c r="F26" s="65" t="str">
        <f>VLOOKUP($A26,Beheersingsniveaus!$D$4:$K$154,6,FALSE)</f>
        <v>De planning, inclusief voortgangsgesprek-ken, is volledig, realistisch en chronologisch of overzichtelijk.</v>
      </c>
      <c r="G26" s="65" t="str">
        <f>VLOOKUP($A26,Beheersingsniveaus!$D$4:$K$154,7,FALSE)</f>
        <v>De planning, inclusief voortgangsgesprek-ken, is volledig, realistisch, chronologisch en overzichtelijk.</v>
      </c>
      <c r="H26" s="59">
        <f>VLOOKUP($A26,Beheersingsniveaus!$D$4:$K$154,8,FALSE)</f>
        <v>0</v>
      </c>
      <c r="I26" s="59"/>
      <c r="J26" s="59"/>
      <c r="K26" s="59"/>
      <c r="L26" s="59"/>
      <c r="M26" s="59">
        <f>IF(L26=TRUE,3,IF(K26=TRUE,2,IF(J26=TRUE,1,IF(I26=TRUE,0,0))))</f>
        <v>0</v>
      </c>
      <c r="N26" s="59">
        <f>(4-COUNTBLANK(D26:G26))-1</f>
        <v>3</v>
      </c>
      <c r="O26" s="59">
        <f>COUNTA(I26:L26)</f>
        <v>0</v>
      </c>
    </row>
    <row r="27" spans="1:15" ht="130" customHeight="1" x14ac:dyDescent="0.35">
      <c r="A27" s="63" t="s">
        <v>215</v>
      </c>
      <c r="B27" s="64" t="str">
        <f>VLOOKUP($A27,Beheersingsniveaus!$D$4:$K$154,2,FALSE)</f>
        <v>T5</v>
      </c>
      <c r="C27" s="64" t="str">
        <f>CONCATENATE(VLOOKUP($A27,Beheersingsniveaus!$D$4:$K$154,3,FALSE),IF($H27=ja,"*",""))</f>
        <v>Afstemmen</v>
      </c>
      <c r="D27" s="65" t="str">
        <f>VLOOKUP($A27,Beheersingsniveaus!$D$4:$K$154,4,FALSE)</f>
        <v xml:space="preserve">De bijdrage aan het projectplan wordt niet afgestemd.
Er wordt niet om goedkeuring gevraagd.
</v>
      </c>
      <c r="E27" s="65" t="str">
        <f>VLOOKUP($A27,Beheersingsniveaus!$D$4:$K$154,5,FALSE)</f>
        <v>De bijdrage aan het projectplan wordt afgestemd.
Er wordt om goedkeuring gevraagd.</v>
      </c>
      <c r="F27" s="66"/>
      <c r="G27" s="66"/>
      <c r="H27" s="59">
        <f>VLOOKUP($A27,Beheersingsniveaus!$D$4:$K$154,8,FALSE)</f>
        <v>0</v>
      </c>
      <c r="I27" s="59"/>
      <c r="J27" s="59"/>
      <c r="K27" s="59"/>
      <c r="L27" s="59"/>
      <c r="M27" s="59">
        <f>IF(L27=TRUE,3,IF(K27=TRUE,2,IF(J27=TRUE,1,IF(I27=TRUE,0,0))))</f>
        <v>0</v>
      </c>
      <c r="N27" s="59">
        <f>(4-COUNTBLANK(D27:G27))-1</f>
        <v>1</v>
      </c>
      <c r="O27" s="59">
        <f>COUNTA(I27:L27)</f>
        <v>0</v>
      </c>
    </row>
    <row r="29" spans="1:15" ht="28.5" customHeight="1" x14ac:dyDescent="0.6">
      <c r="B29" s="96" t="s">
        <v>216</v>
      </c>
      <c r="C29" s="97"/>
      <c r="D29" s="97"/>
      <c r="E29" s="97"/>
      <c r="F29" s="97"/>
      <c r="G29" s="97"/>
    </row>
    <row r="30" spans="1:15" ht="26.15" customHeight="1" x14ac:dyDescent="0.35">
      <c r="B30" s="67" t="s">
        <v>201</v>
      </c>
    </row>
    <row r="31" spans="1:15" x14ac:dyDescent="0.35">
      <c r="B31" s="68" t="s">
        <v>202</v>
      </c>
      <c r="C31" s="68" t="s">
        <v>203</v>
      </c>
      <c r="D31" s="71" t="s">
        <v>204</v>
      </c>
    </row>
    <row r="32" spans="1:15" x14ac:dyDescent="0.35">
      <c r="B32" s="69">
        <v>0</v>
      </c>
      <c r="C32" s="72">
        <f t="shared" ref="C32:C42" si="0">ROUNDUP(IF(B32&lt;$B$8,4.5/$B$8*B32+1,4.5/($B$4-$B$8)*(B32-$B$8)+5.5),1)</f>
        <v>1</v>
      </c>
      <c r="D32" s="61" t="str">
        <f t="shared" ref="D32:D42" si="1">IF($B32=$B$5,"X","")</f>
        <v>X</v>
      </c>
    </row>
    <row r="33" spans="2:7" x14ac:dyDescent="0.35">
      <c r="B33" s="69">
        <v>1</v>
      </c>
      <c r="C33" s="72">
        <f t="shared" si="0"/>
        <v>1.9</v>
      </c>
      <c r="D33" s="61" t="str">
        <f t="shared" si="1"/>
        <v/>
      </c>
    </row>
    <row r="34" spans="2:7" x14ac:dyDescent="0.35">
      <c r="B34" s="69">
        <v>2</v>
      </c>
      <c r="C34" s="72">
        <f t="shared" si="0"/>
        <v>2.8</v>
      </c>
      <c r="D34" s="61" t="str">
        <f t="shared" si="1"/>
        <v/>
      </c>
    </row>
    <row r="35" spans="2:7" x14ac:dyDescent="0.35">
      <c r="B35" s="69">
        <v>3</v>
      </c>
      <c r="C35" s="72">
        <f t="shared" si="0"/>
        <v>3.7</v>
      </c>
      <c r="D35" s="61" t="str">
        <f t="shared" si="1"/>
        <v/>
      </c>
    </row>
    <row r="36" spans="2:7" x14ac:dyDescent="0.35">
      <c r="B36" s="69">
        <v>4</v>
      </c>
      <c r="C36" s="72">
        <f t="shared" si="0"/>
        <v>4.5999999999999996</v>
      </c>
      <c r="D36" s="61" t="str">
        <f t="shared" si="1"/>
        <v/>
      </c>
    </row>
    <row r="37" spans="2:7" x14ac:dyDescent="0.35">
      <c r="B37" s="69">
        <v>5</v>
      </c>
      <c r="C37" s="72">
        <f t="shared" si="0"/>
        <v>5.5</v>
      </c>
      <c r="D37" s="61" t="str">
        <f t="shared" si="1"/>
        <v/>
      </c>
    </row>
    <row r="38" spans="2:7" x14ac:dyDescent="0.35">
      <c r="B38" s="69">
        <v>6</v>
      </c>
      <c r="C38" s="72">
        <f t="shared" si="0"/>
        <v>6.4</v>
      </c>
      <c r="D38" s="61" t="str">
        <f t="shared" si="1"/>
        <v/>
      </c>
    </row>
    <row r="39" spans="2:7" x14ac:dyDescent="0.35">
      <c r="B39" s="69">
        <v>7</v>
      </c>
      <c r="C39" s="72">
        <f t="shared" si="0"/>
        <v>7.3</v>
      </c>
      <c r="D39" s="61" t="str">
        <f t="shared" si="1"/>
        <v/>
      </c>
    </row>
    <row r="40" spans="2:7" x14ac:dyDescent="0.35">
      <c r="B40" s="69">
        <v>8</v>
      </c>
      <c r="C40" s="72">
        <f t="shared" si="0"/>
        <v>8.1999999999999993</v>
      </c>
      <c r="D40" s="61" t="str">
        <f t="shared" si="1"/>
        <v/>
      </c>
    </row>
    <row r="41" spans="2:7" x14ac:dyDescent="0.35">
      <c r="B41" s="69">
        <v>9</v>
      </c>
      <c r="C41" s="72">
        <f t="shared" si="0"/>
        <v>9.1</v>
      </c>
      <c r="D41" s="61" t="str">
        <f t="shared" si="1"/>
        <v/>
      </c>
    </row>
    <row r="42" spans="2:7" x14ac:dyDescent="0.35">
      <c r="B42" s="69">
        <v>10</v>
      </c>
      <c r="C42" s="72">
        <f t="shared" si="0"/>
        <v>10</v>
      </c>
      <c r="D42" s="61" t="str">
        <f t="shared" si="1"/>
        <v/>
      </c>
    </row>
    <row r="44" spans="2:7" ht="26.15" customHeight="1" x14ac:dyDescent="0.35">
      <c r="B44" s="67" t="s">
        <v>205</v>
      </c>
    </row>
    <row r="45" spans="2:7" x14ac:dyDescent="0.35">
      <c r="B45" t="s">
        <v>206</v>
      </c>
    </row>
    <row r="46" spans="2:7" ht="35.15" customHeight="1" x14ac:dyDescent="0.35">
      <c r="B46" s="98" t="s">
        <v>207</v>
      </c>
      <c r="C46" s="98"/>
      <c r="D46" s="98"/>
      <c r="E46" s="98"/>
      <c r="F46" s="98"/>
      <c r="G46" s="98"/>
    </row>
    <row r="47" spans="2:7" ht="300" customHeight="1" x14ac:dyDescent="0.35">
      <c r="B47" s="92"/>
      <c r="C47" s="92"/>
      <c r="D47" s="92"/>
      <c r="E47" s="92"/>
      <c r="F47" s="92"/>
      <c r="G47" s="92"/>
    </row>
    <row r="49" spans="2:4" ht="26.15" customHeight="1" x14ac:dyDescent="0.35">
      <c r="B49" s="67" t="s">
        <v>208</v>
      </c>
    </row>
    <row r="50" spans="2:4" ht="25" customHeight="1" x14ac:dyDescent="0.35">
      <c r="B50" s="19" t="s">
        <v>209</v>
      </c>
    </row>
    <row r="51" spans="2:4" ht="90" customHeight="1" x14ac:dyDescent="0.35">
      <c r="B51" s="73" t="s">
        <v>19</v>
      </c>
      <c r="C51" s="93"/>
      <c r="D51" s="93"/>
    </row>
    <row r="52" spans="2:4" ht="90" customHeight="1" x14ac:dyDescent="0.35">
      <c r="B52" s="74" t="s">
        <v>20</v>
      </c>
      <c r="C52" s="94"/>
      <c r="D52" s="94"/>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20" priority="1" stopIfTrue="1">
      <formula>COUNTIF($I24:$L24,TRUE)&gt;1</formula>
    </cfRule>
  </conditionalFormatting>
  <conditionalFormatting sqref="B25:G25">
    <cfRule type="expression" dxfId="19" priority="2" stopIfTrue="1">
      <formula>COUNTIF($I25:$L25,TRUE)&gt;1</formula>
    </cfRule>
  </conditionalFormatting>
  <conditionalFormatting sqref="B26:G26">
    <cfRule type="expression" dxfId="18" priority="3" stopIfTrue="1">
      <formula>COUNTIF($I26:$L26,TRUE)&gt;1</formula>
    </cfRule>
  </conditionalFormatting>
  <conditionalFormatting sqref="B27:G27">
    <cfRule type="expression" dxfId="17" priority="4" stopIfTrue="1">
      <formula>COUNTIF($I27:$L27,TRUE)&gt;1</formula>
    </cfRule>
  </conditionalFormatting>
  <conditionalFormatting sqref="B32:C42">
    <cfRule type="expression" dxfId="16" priority="5" stopIfTrue="1">
      <formula>$D$4=FALSE</formula>
    </cfRule>
  </conditionalFormatting>
  <conditionalFormatting sqref="D31:D42">
    <cfRule type="expression" dxfId="15"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7358"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7359"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0">
    <tabColor indexed="22"/>
    <pageSetUpPr fitToPage="1"/>
  </sheetPr>
  <dimension ref="A1:O80"/>
  <sheetViews>
    <sheetView showGridLines="0" topLeftCell="B31" workbookViewId="0">
      <selection activeCell="F33" sqref="F33"/>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74</v>
      </c>
      <c r="C1" s="56" t="str">
        <f>VLOOKUP(B1,werkprocessen,2,FALSE)</f>
        <v>Levert een bijdrage aan het ontwerp</v>
      </c>
    </row>
    <row r="2" spans="1:7" hidden="1" x14ac:dyDescent="0.35">
      <c r="A2" t="s">
        <v>26</v>
      </c>
      <c r="B2" s="6">
        <f>VLOOKUP(B1,KerntakenEnWerkprocessen!B13:E27,3,FALSE)</f>
        <v>3</v>
      </c>
    </row>
    <row r="3" spans="1:7" hidden="1" x14ac:dyDescent="0.35">
      <c r="A3" t="s">
        <v>27</v>
      </c>
      <c r="B3" s="6">
        <f>VLOOKUP(B1,KerntakenEnWerkprocessen!B13:E27,4,FALSE)</f>
        <v>4</v>
      </c>
    </row>
    <row r="4" spans="1:7" hidden="1" x14ac:dyDescent="0.35">
      <c r="A4" t="s">
        <v>32</v>
      </c>
      <c r="B4" s="6">
        <f>SUM(N:N)</f>
        <v>19</v>
      </c>
      <c r="C4" s="55" t="s">
        <v>66</v>
      </c>
      <c r="D4" s="54" t="b">
        <f>IF(SUM(O:O)&gt;0,TRUE,FALSE)</f>
        <v>0</v>
      </c>
    </row>
    <row r="5" spans="1:7" hidden="1" x14ac:dyDescent="0.35">
      <c r="A5" t="s">
        <v>31</v>
      </c>
      <c r="B5" s="6">
        <f>SUM(M:M)</f>
        <v>0</v>
      </c>
    </row>
    <row r="6" spans="1:7" hidden="1" x14ac:dyDescent="0.35">
      <c r="A6" t="s">
        <v>43</v>
      </c>
      <c r="B6" s="6">
        <f>COUNTIF(N:N,1)</f>
        <v>1</v>
      </c>
    </row>
    <row r="7" spans="1:7" hidden="1" x14ac:dyDescent="0.35">
      <c r="A7" t="s">
        <v>44</v>
      </c>
      <c r="B7" s="6">
        <f>COUNTIF(N:N,2)+COUNTIF(N:N,3)</f>
        <v>6</v>
      </c>
    </row>
    <row r="8" spans="1:7" hidden="1" x14ac:dyDescent="0.35">
      <c r="A8" t="s">
        <v>34</v>
      </c>
      <c r="B8" s="6">
        <f>0.5*B4</f>
        <v>9.5</v>
      </c>
    </row>
    <row r="10" spans="1:7" ht="36.75" customHeight="1" x14ac:dyDescent="0.7">
      <c r="B10" s="86" t="str">
        <f>CONCATENATE(kerntaakCode,": ",kerntaakNaam)</f>
        <v>B1-K1: Levert een bijdrage aan het ontwikkeltraject</v>
      </c>
      <c r="C10" s="86"/>
      <c r="D10" s="86"/>
      <c r="E10" s="86"/>
      <c r="F10" s="86"/>
      <c r="G10" s="86"/>
    </row>
    <row r="11" spans="1:7" ht="28.5" customHeight="1" x14ac:dyDescent="0.6">
      <c r="B11" s="87" t="str">
        <f>CONCATENATE(VLOOKUP(B1,werkprocessen,1,FALSE),": ",C1)</f>
        <v>B1-K1-W3: Levert een bijdrage aan het ontwerp</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5" t="s">
        <v>217</v>
      </c>
      <c r="C21" s="95"/>
      <c r="D21" s="95"/>
      <c r="E21" s="95"/>
      <c r="F21" s="95"/>
      <c r="G21" s="95"/>
    </row>
    <row r="22" spans="1:15" hidden="1" x14ac:dyDescent="0.35">
      <c r="A22" t="s">
        <v>174</v>
      </c>
      <c r="B22" s="59">
        <v>3</v>
      </c>
      <c r="D22" s="8" t="s">
        <v>175</v>
      </c>
      <c r="E22" s="60" t="s">
        <v>218</v>
      </c>
      <c r="G22" s="8" t="s">
        <v>177</v>
      </c>
      <c r="H22" s="59">
        <f>COUNTIF(Beheersingsniveaus!$C$4:$C$154,$E22)</f>
        <v>4</v>
      </c>
    </row>
    <row r="23" spans="1:15" x14ac:dyDescent="0.35">
      <c r="A23" t="s">
        <v>29</v>
      </c>
      <c r="B23" s="62" t="s">
        <v>178</v>
      </c>
      <c r="C23" s="62" t="s">
        <v>3</v>
      </c>
      <c r="D23" s="62">
        <v>0</v>
      </c>
      <c r="E23" s="62">
        <v>1</v>
      </c>
      <c r="F23" s="62">
        <v>2</v>
      </c>
      <c r="G23" s="62">
        <v>3</v>
      </c>
      <c r="H23" t="s">
        <v>8</v>
      </c>
      <c r="I23" t="s">
        <v>179</v>
      </c>
      <c r="J23" t="s">
        <v>180</v>
      </c>
      <c r="K23" t="s">
        <v>181</v>
      </c>
      <c r="L23" t="s">
        <v>182</v>
      </c>
      <c r="M23" t="s">
        <v>31</v>
      </c>
      <c r="N23" t="s">
        <v>32</v>
      </c>
      <c r="O23" t="s">
        <v>183</v>
      </c>
    </row>
    <row r="24" spans="1:15" ht="340" customHeight="1" x14ac:dyDescent="0.35">
      <c r="A24" s="63" t="s">
        <v>219</v>
      </c>
      <c r="B24" s="64" t="str">
        <f>VLOOKUP($A24,Beheersingsniveaus!$D$4:$K$154,2,FALSE)</f>
        <v>T1, T2</v>
      </c>
      <c r="C24" s="64" t="str">
        <f>CONCATENATE(VLOOKUP($A24,Beheersingsniveaus!$D$4:$K$154,3,FALSE),IF($H24=ja,"*",""))</f>
        <v>Functionaliteiten*</v>
      </c>
      <c r="D24" s="65" t="str">
        <f>VLOOKUP($A24,Beheersingsniveaus!$D$4:$K$154,4,FALSE)</f>
        <v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v>
      </c>
      <c r="E24" s="65" t="str">
        <f>VLOOKUP($A24,Beheersingsniveaus!$D$4:$K$154,5,FALSE)</f>
        <v>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v>
      </c>
      <c r="F24" s="65" t="str">
        <f>VLOOKUP($A24,Beheersingsniveaus!$D$4:$K$154,6,FALSE)</f>
        <v>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v>
      </c>
      <c r="G24" s="65" t="str">
        <f>VLOOKUP($A24,Beheersingsniveaus!$D$4:$K$154,7,FALSE)</f>
        <v>Alle informatie, eisen en wensen uit het PvE zijn opgenomen als functionaliteit.
De informatie, eisen en wensen uit het PvE zijn begrijpelijk, eenduidig en als functionaliteit beschreven.
De functionaliteiten zijn in overeenstemming met het PvE, zowel qua inhoud als prioritering.</v>
      </c>
      <c r="H24" s="59" t="str">
        <f>VLOOKUP($A24,Beheersingsniveaus!$D$4:$K$154,8,FALSE)</f>
        <v>Ja</v>
      </c>
      <c r="I24" s="59"/>
      <c r="J24" s="59"/>
      <c r="K24" s="59"/>
      <c r="L24" s="59"/>
      <c r="M24" s="59">
        <f>IF(L24=TRUE,3,IF(K24=TRUE,2,IF(J24=TRUE,1,IF(I24=TRUE,0,0))))</f>
        <v>0</v>
      </c>
      <c r="N24" s="59">
        <f>(4-COUNTBLANK(D24:G24))-1</f>
        <v>3</v>
      </c>
      <c r="O24" s="59">
        <f>COUNTA(I24:L24)</f>
        <v>0</v>
      </c>
    </row>
    <row r="25" spans="1:15" ht="220" customHeight="1" x14ac:dyDescent="0.35">
      <c r="A25" s="63" t="s">
        <v>220</v>
      </c>
      <c r="B25" s="64" t="str">
        <f>VLOOKUP($A25,Beheersingsniveaus!$D$4:$K$154,2,FALSE)</f>
        <v>T3</v>
      </c>
      <c r="C25" s="64" t="str">
        <f>CONCATENATE(VLOOKUP($A25,Beheersingsniveaus!$D$4:$K$154,3,FALSE),IF($H25=ja,"*",""))</f>
        <v>Toepassen schema-technieken</v>
      </c>
      <c r="D25" s="65" t="str">
        <f>VLOOKUP($A25,Beheersingsniveaus!$D$4:$K$154,4,FALSE)</f>
        <v>Er is geen schematechniek gebruikt.
Of
De verkeerde schematechnieken zijn gebruikt.</v>
      </c>
      <c r="E25" s="65" t="str">
        <f>VLOOKUP($A25,Beheersingsniveaus!$D$4:$K$154,5,FALSE)</f>
        <v xml:space="preserve">De schematechnieken zijn in de meeste gevallen juist gekozen.
De schematechnieken verduidelijken de functionaliteit, maar zijn in de meeste gevallen niet juist uitgevoerd. 
</v>
      </c>
      <c r="F25" s="65" t="str">
        <f>VLOOKUP($A25,Beheersingsniveaus!$D$4:$K$154,6,FALSE)</f>
        <v>De juiste schematechnieken zijn gekozen.
De schematechnieken verduidelijken de functionaliteit en zijn in de meeste gevallen juist uitgevoerd.</v>
      </c>
      <c r="G25" s="65" t="str">
        <f>VLOOKUP($A25,Beheersingsniveaus!$D$4:$K$154,7,FALSE)</f>
        <v>De juiste schematechnieken zijn gekozen.
De schematechnieken verduidelijken de functionaliteit en zijn juist uitgevoerd.</v>
      </c>
      <c r="H25" s="59">
        <f>VLOOKUP($A25,Beheersingsniveaus!$D$4:$K$154,8,FALSE)</f>
        <v>0</v>
      </c>
      <c r="I25" s="59"/>
      <c r="J25" s="59"/>
      <c r="K25" s="59"/>
      <c r="L25" s="59"/>
      <c r="M25" s="59">
        <f>IF(L25=TRUE,3,IF(K25=TRUE,2,IF(J25=TRUE,1,IF(I25=TRUE,0,0))))</f>
        <v>0</v>
      </c>
      <c r="N25" s="59">
        <f>(4-COUNTBLANK(D25:G25))-1</f>
        <v>3</v>
      </c>
      <c r="O25" s="59">
        <f>COUNTA(I25:L25)</f>
        <v>0</v>
      </c>
    </row>
    <row r="26" spans="1:15" ht="400" customHeight="1" x14ac:dyDescent="0.35">
      <c r="A26" s="63" t="s">
        <v>221</v>
      </c>
      <c r="B26" s="64" t="str">
        <f>VLOOKUP($A26,Beheersingsniveaus!$D$4:$K$154,2,FALSE)</f>
        <v>T4</v>
      </c>
      <c r="C26" s="64" t="str">
        <f>CONCATENATE(VLOOKUP($A26,Beheersingsniveaus!$D$4:$K$154,3,FALSE),IF($H26=ja,"*",""))</f>
        <v>User interface</v>
      </c>
      <c r="D26" s="65" t="str">
        <f>VLOOKUP($A26,Beheersingsniveaus!$D$4:$K$154,4,FALSE)</f>
        <v>Het is niet helder hoe het systeem eruit gaat zien qua lay-out.
Of
Het is niet helder welke gegevens nodig zijn.
Of
Het is niet duidelijk welke schermen er komen en de relatie tussen deze schermen is niet helder.</v>
      </c>
      <c r="E26" s="65" t="str">
        <f>VLOOKUP($A26,Beheersingsniveaus!$D$4:$K$154,5,FALSE)</f>
        <v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v>
      </c>
      <c r="F26" s="65" t="str">
        <f>VLOOKUP($A26,Beheersingsniveaus!$D$4:$K$154,6,FALSE)</f>
        <v>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v>
      </c>
      <c r="G26" s="65" t="str">
        <f>VLOOKUP($A26,Beheersingsniveaus!$D$4:$K$154,7,FALSE)</f>
        <v>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v>
      </c>
      <c r="H26" s="59">
        <f>VLOOKUP($A26,Beheersingsniveaus!$D$4:$K$154,8,FALSE)</f>
        <v>0</v>
      </c>
      <c r="I26" s="59"/>
      <c r="J26" s="59"/>
      <c r="K26" s="59"/>
      <c r="L26" s="59"/>
      <c r="M26" s="59">
        <f>IF(L26=TRUE,3,IF(K26=TRUE,2,IF(J26=TRUE,1,IF(I26=TRUE,0,0))))</f>
        <v>0</v>
      </c>
      <c r="N26" s="59">
        <f>(4-COUNTBLANK(D26:G26))-1</f>
        <v>3</v>
      </c>
      <c r="O26" s="59">
        <f>COUNTA(I26:L26)</f>
        <v>0</v>
      </c>
    </row>
    <row r="27" spans="1:15" ht="250" customHeight="1" x14ac:dyDescent="0.35">
      <c r="A27" s="63" t="s">
        <v>222</v>
      </c>
      <c r="B27" s="64" t="str">
        <f>VLOOKUP($A27,Beheersingsniveaus!$D$4:$K$154,2,FALSE)</f>
        <v>T5</v>
      </c>
      <c r="C27" s="64" t="str">
        <f>CONCATENATE(VLOOKUP($A27,Beheersingsniveaus!$D$4:$K$154,3,FALSE),IF($H27=ja,"*",""))</f>
        <v>Communiceren FO*</v>
      </c>
      <c r="D27" s="65" t="str">
        <f>VLOOKUP($A27,Beheersingsniveaus!$D$4:$K$154,4,FALSE)</f>
        <v xml:space="preserve">Het FO wordt niet overgedragen of niet toegelicht.
Of
Er wordt niet om goedkeuring gevraagd.
Of
Gebruikt veel vaktaal zonder dit uit te leggen.
</v>
      </c>
      <c r="E27" s="65" t="str">
        <f>VLOOKUP($A27,Beheersingsniveaus!$D$4:$K$154,5,FALSE)</f>
        <v>Het FO wordt overgedragen en toegelicht.
Er wordt om goedkeuring gevraagd.
Gebruikt soms vaktaal en/of legt deze in de meeste gevallen niet begrijpelijk uit.</v>
      </c>
      <c r="F27" s="65" t="str">
        <f>VLOOKUP($A27,Beheersingsniveaus!$D$4:$K$154,6,FALSE)</f>
        <v>Het FO wordt overgedragen en toegelicht.
Er wordt om goedkeuring gevraagd.
Gebruikt weinig tot geen vaktaal en/of legt deze in de meeste gevallen begrijpelijk uit.</v>
      </c>
      <c r="G27" s="65" t="str">
        <f>VLOOKUP($A27,Beheersingsniveaus!$D$4:$K$154,7,FALSE)</f>
        <v>Het FO wordt overgedragen en toegelicht.
Er wordt om goedkeuring gevraagd.
Gebruikt weinig tot geen vaktaal en legt deze begrijpelijk uit.</v>
      </c>
      <c r="H27" s="59" t="str">
        <f>VLOOKUP($A27,Beheersingsniveaus!$D$4:$K$154,8,FALSE)</f>
        <v>Ja</v>
      </c>
      <c r="I27" s="59"/>
      <c r="J27" s="59"/>
      <c r="K27" s="59"/>
      <c r="L27" s="59"/>
      <c r="M27" s="59">
        <f>IF(L27=TRUE,3,IF(K27=TRUE,2,IF(J27=TRUE,1,IF(I27=TRUE,0,0))))</f>
        <v>0</v>
      </c>
      <c r="N27" s="59">
        <f>(4-COUNTBLANK(D27:G27))-1</f>
        <v>3</v>
      </c>
      <c r="O27" s="59">
        <f>COUNTA(I27:L27)</f>
        <v>0</v>
      </c>
    </row>
    <row r="29" spans="1:15" ht="24" customHeight="1" x14ac:dyDescent="0.35">
      <c r="B29" s="95" t="s">
        <v>223</v>
      </c>
      <c r="C29" s="95"/>
      <c r="D29" s="95"/>
      <c r="E29" s="95"/>
      <c r="F29" s="95"/>
      <c r="G29" s="95"/>
    </row>
    <row r="30" spans="1:15" hidden="1" x14ac:dyDescent="0.35">
      <c r="A30" t="s">
        <v>174</v>
      </c>
      <c r="B30" s="59">
        <v>4</v>
      </c>
      <c r="D30" s="8" t="s">
        <v>175</v>
      </c>
      <c r="E30" s="60" t="s">
        <v>224</v>
      </c>
      <c r="G30" s="8" t="s">
        <v>177</v>
      </c>
      <c r="H30" s="59">
        <f>COUNTIF(Beheersingsniveaus!$C$4:$C$154,$E30)</f>
        <v>3</v>
      </c>
    </row>
    <row r="31" spans="1:15" x14ac:dyDescent="0.35">
      <c r="A31" t="s">
        <v>29</v>
      </c>
      <c r="B31" s="62" t="s">
        <v>178</v>
      </c>
      <c r="C31" s="62" t="s">
        <v>3</v>
      </c>
      <c r="D31" s="62">
        <v>0</v>
      </c>
      <c r="E31" s="62">
        <v>1</v>
      </c>
      <c r="F31" s="62">
        <v>2</v>
      </c>
      <c r="G31" s="62">
        <v>3</v>
      </c>
      <c r="H31" t="s">
        <v>8</v>
      </c>
      <c r="I31" t="s">
        <v>179</v>
      </c>
      <c r="J31" t="s">
        <v>180</v>
      </c>
      <c r="K31" t="s">
        <v>181</v>
      </c>
      <c r="L31" t="s">
        <v>182</v>
      </c>
      <c r="M31" t="s">
        <v>31</v>
      </c>
      <c r="N31" t="s">
        <v>32</v>
      </c>
      <c r="O31" t="s">
        <v>183</v>
      </c>
    </row>
    <row r="32" spans="1:15" ht="340" customHeight="1" x14ac:dyDescent="0.35">
      <c r="A32" s="63" t="s">
        <v>225</v>
      </c>
      <c r="B32" s="64" t="str">
        <f>VLOOKUP($A32,Beheersingsniveaus!$D$4:$K$154,2,FALSE)</f>
        <v>T6, T8</v>
      </c>
      <c r="C32" s="64" t="str">
        <f>CONCATENATE(VLOOKUP($A32,Beheersingsniveaus!$D$4:$K$154,3,FALSE),IF($H32=ja,"*",""))</f>
        <v>Technische specificaties</v>
      </c>
      <c r="D32" s="65" t="str">
        <f>VLOOKUP($A32,Beheersingsniveaus!$D$4:$K$154,4,FALSE)</f>
        <v>De technische specificaties zijn niet gebaseerd op het FO.
En/of
De uitgewerkte technische specificaties zijn niet haalbaar en realistisch voor het te bereiken resultaat.
En/Of
De toegepaste schematechnieken verduidelijken de technische specificaties niet.</v>
      </c>
      <c r="E32" s="65" t="str">
        <f>VLOOKUP($A32,Beheersingsniveaus!$D$4:$K$154,5,FALSE)</f>
        <v>De technische specificaties zijn gebaseerd op het FO.
De uitgewerkte technische specificaties zijn haalbaar, realistisch, maar niet optimaal voor het te bereiken resultaat.
De toegepaste schematechnieken verduidelijken in de meeste gevallen de technische specificaties.</v>
      </c>
      <c r="F32" s="65" t="str">
        <f>VLOOKUP($A32,Beheersingsniveaus!$D$4:$K$154,6,FALSE)</f>
        <v>De technische specificaties zijn gebaseerd op het FO.
De uitgewerkte technische specificaties zijn haalbaar, realistisch en optimaal voor het te bereiken resultaat.
De toegepaste schematechnieken verduidelijken in de meeste gevallen de technische specificaties.</v>
      </c>
      <c r="G32" s="65" t="str">
        <f>VLOOKUP($A32,Beheersingsniveaus!$D$4:$K$154,7,FALSE)</f>
        <v>De technische specificaties zijn gebaseerd op het FO.
De uitgewerkte technische specificaties zijn haalbaar, realistisch en optimaal voor het te bereiken resultaat.
De toegepaste schematechnieken verduidelijken de technische specificaties.</v>
      </c>
      <c r="H32" s="59">
        <f>VLOOKUP($A32,Beheersingsniveaus!$D$4:$K$154,8,FALSE)</f>
        <v>0</v>
      </c>
      <c r="I32" s="59"/>
      <c r="J32" s="59"/>
      <c r="K32" s="59"/>
      <c r="L32" s="59"/>
      <c r="M32" s="59">
        <f>IF(L32=TRUE,3,IF(K32=TRUE,2,IF(J32=TRUE,1,IF(I32=TRUE,0,0))))</f>
        <v>0</v>
      </c>
      <c r="N32" s="59">
        <f>(4-COUNTBLANK(D32:G32))-1</f>
        <v>3</v>
      </c>
      <c r="O32" s="59">
        <f>COUNTA(I32:L32)</f>
        <v>0</v>
      </c>
    </row>
    <row r="33" spans="1:15" ht="310" customHeight="1" x14ac:dyDescent="0.35">
      <c r="A33" s="63" t="s">
        <v>226</v>
      </c>
      <c r="B33" s="64" t="str">
        <f>VLOOKUP($A33,Beheersingsniveaus!$D$4:$K$154,2,FALSE)</f>
        <v>T7</v>
      </c>
      <c r="C33" s="64" t="str">
        <f>CONCATENATE(VLOOKUP($A33,Beheersingsniveaus!$D$4:$K$154,3,FALSE),IF($H33=ja,"*",""))</f>
        <v>Relationeel datamodel*</v>
      </c>
      <c r="D33" s="65" t="str">
        <f>VLOOKUP($A33,Beheersingsniveaus!$D$4:$K$154,4,FALSE)</f>
        <v>Niet alle entiteiten en weinig eigenschappen/ attributen zijn beschreven in het datamodel en daarvan is weinig gebaseerd op het FO.
Of
Weinig informatie uit het FO is verwerkt in het datamodel.
Of
De relaties zijn niet op de juiste wijze beschreven.</v>
      </c>
      <c r="E33" s="65" t="str">
        <f>VLOOKUP($A33,Beheersingsniveaus!$D$4:$K$154,5,FALSE)</f>
        <v>Alle entiteiten en sommige eigenschappen/ attributen zijn beschreven in het datamodel en daarvan is bijna alles gebaseerd op het FO.
Bijna alle informatie uit het FO is verwerkt in het datamodel.
Alle relaties zijn op de juiste wijze beschreven.</v>
      </c>
      <c r="F33" s="65" t="str">
        <f>VLOOKUP($A33,Beheersingsniveaus!$D$4:$K$154,6,FALSE)</f>
        <v>Alle entiteiten en bijna alle eigenschappen/ attributen zijn beschreven in het datamodel en zijn gebaseerd op het FO.
Bijna alle informatie uit het FO is verwerkt in het datamodel.
Alle relaties zijn op de juiste wijze beschreven.</v>
      </c>
      <c r="G33" s="65" t="str">
        <f>VLOOKUP($A33,Beheersingsniveaus!$D$4:$K$154,7,FALSE)</f>
        <v>Alle entiteiten en eigenschappen/ attributen zijn beschreven in het datamodel en gebaseerd op het FO.
Alle informatie uit het FO is verwerkt in het datamodel.
Alle relaties zijn op de juiste wijze beschreven.</v>
      </c>
      <c r="H33" s="59" t="str">
        <f>VLOOKUP($A33,Beheersingsniveaus!$D$4:$K$154,8,FALSE)</f>
        <v>Ja</v>
      </c>
      <c r="I33" s="59"/>
      <c r="J33" s="59"/>
      <c r="K33" s="59"/>
      <c r="L33" s="59"/>
      <c r="M33" s="59">
        <f>IF(L33=TRUE,3,IF(K33=TRUE,2,IF(J33=TRUE,1,IF(I33=TRUE,0,0))))</f>
        <v>0</v>
      </c>
      <c r="N33" s="59">
        <f>(4-COUNTBLANK(D33:G33))-1</f>
        <v>3</v>
      </c>
      <c r="O33" s="59">
        <f>COUNTA(I33:L33)</f>
        <v>0</v>
      </c>
    </row>
    <row r="34" spans="1:15" ht="130" customHeight="1" x14ac:dyDescent="0.35">
      <c r="A34" s="63" t="s">
        <v>227</v>
      </c>
      <c r="B34" s="64" t="str">
        <f>VLOOKUP($A34,Beheersingsniveaus!$D$4:$K$154,2,FALSE)</f>
        <v>T9</v>
      </c>
      <c r="C34" s="64" t="str">
        <f>CONCATENATE(VLOOKUP($A34,Beheersingsniveaus!$D$4:$K$154,3,FALSE),IF($H34=ja,"*",""))</f>
        <v>CommunicerenTO</v>
      </c>
      <c r="D34" s="65" t="str">
        <f>VLOOKUP($A34,Beheersingsniveaus!$D$4:$K$154,4,FALSE)</f>
        <v xml:space="preserve">Het TO wordt niet overgedragen of niet toegelicht.
Er wordt niet om goedkeuring gevraagd.
</v>
      </c>
      <c r="E34" s="65" t="str">
        <f>VLOOKUP($A34,Beheersingsniveaus!$D$4:$K$154,5,FALSE)</f>
        <v>Het TO wordt overgedragen en toegelicht.
Er wordt om goedkeuring gevraagd.</v>
      </c>
      <c r="F34" s="66"/>
      <c r="G34" s="66"/>
      <c r="H34" s="59">
        <f>VLOOKUP($A34,Beheersingsniveaus!$D$4:$K$154,8,FALSE)</f>
        <v>0</v>
      </c>
      <c r="I34" s="59"/>
      <c r="J34" s="59"/>
      <c r="K34" s="59"/>
      <c r="L34" s="59"/>
      <c r="M34" s="59">
        <f>IF(L34=TRUE,3,IF(K34=TRUE,2,IF(J34=TRUE,1,IF(I34=TRUE,0,0))))</f>
        <v>0</v>
      </c>
      <c r="N34" s="59">
        <f>(4-COUNTBLANK(D34:G34))-1</f>
        <v>1</v>
      </c>
      <c r="O34" s="59">
        <f>COUNTA(I34:L34)</f>
        <v>0</v>
      </c>
    </row>
    <row r="35" spans="1:15" x14ac:dyDescent="0.35">
      <c r="B35" t="s">
        <v>191</v>
      </c>
    </row>
    <row r="36" spans="1:15" ht="28.5" customHeight="1" x14ac:dyDescent="0.6">
      <c r="B36" s="96" t="s">
        <v>228</v>
      </c>
      <c r="C36" s="97"/>
      <c r="D36" s="97"/>
      <c r="E36" s="97"/>
      <c r="F36" s="97"/>
      <c r="G36" s="97"/>
    </row>
    <row r="37" spans="1:15" ht="26.15" customHeight="1" x14ac:dyDescent="0.35">
      <c r="B37" s="67" t="s">
        <v>193</v>
      </c>
    </row>
    <row r="38" spans="1:15" hidden="1" x14ac:dyDescent="0.35">
      <c r="B38" t="s">
        <v>194</v>
      </c>
      <c r="C38" s="59">
        <f>COUNTIF($H:$H,ja)</f>
        <v>3</v>
      </c>
      <c r="D38" s="8" t="s">
        <v>195</v>
      </c>
      <c r="E38" s="60" t="b">
        <f>IF(COUNTIF(J38:J42,FALSE)=0,TRUE,FALSE)</f>
        <v>0</v>
      </c>
    </row>
    <row r="39" spans="1:15" x14ac:dyDescent="0.35">
      <c r="A39" t="s">
        <v>29</v>
      </c>
      <c r="B39" s="68" t="s">
        <v>196</v>
      </c>
      <c r="C39" s="68"/>
      <c r="D39" s="70" t="s">
        <v>197</v>
      </c>
      <c r="E39" s="71"/>
      <c r="H39" t="s">
        <v>198</v>
      </c>
      <c r="I39" t="s">
        <v>199</v>
      </c>
      <c r="J39" t="s">
        <v>200</v>
      </c>
    </row>
    <row r="40" spans="1:15" x14ac:dyDescent="0.35">
      <c r="A40" s="59" t="s">
        <v>219</v>
      </c>
      <c r="B40" t="str">
        <f>VLOOKUP($A40,Beheersingsniveaus!$D$3:$F$154,3,FALSE)</f>
        <v>Functionaliteiten</v>
      </c>
      <c r="D40" s="75" t="s">
        <v>14</v>
      </c>
      <c r="E40" s="75" t="s">
        <v>15</v>
      </c>
      <c r="H40" s="59" t="b">
        <f>J40</f>
        <v>0</v>
      </c>
      <c r="I40" s="59" t="b">
        <f>IF(J40=FALSE,TRUE,FALSE)</f>
        <v>1</v>
      </c>
      <c r="J40" s="59" t="b">
        <f>IF(VLOOKUP($A40,$A$21:$N$35,13,FALSE)&gt;0,TRUE,FALSE)</f>
        <v>0</v>
      </c>
    </row>
    <row r="41" spans="1:15" x14ac:dyDescent="0.35">
      <c r="A41" s="59" t="s">
        <v>222</v>
      </c>
      <c r="B41" t="str">
        <f>VLOOKUP($A41,Beheersingsniveaus!$D$3:$F$154,3,FALSE)</f>
        <v>Communiceren FO</v>
      </c>
      <c r="D41" s="75" t="s">
        <v>14</v>
      </c>
      <c r="E41" s="75" t="s">
        <v>15</v>
      </c>
      <c r="H41" s="59" t="b">
        <f>J41</f>
        <v>0</v>
      </c>
      <c r="I41" s="59" t="b">
        <f>IF(J41=FALSE,TRUE,FALSE)</f>
        <v>1</v>
      </c>
      <c r="J41" s="59" t="b">
        <f>IF(VLOOKUP($A41,$A$21:$N$35,13,FALSE)&gt;0,TRUE,FALSE)</f>
        <v>0</v>
      </c>
    </row>
    <row r="42" spans="1:15" x14ac:dyDescent="0.35">
      <c r="A42" s="59" t="s">
        <v>226</v>
      </c>
      <c r="B42" t="str">
        <f>VLOOKUP($A42,Beheersingsniveaus!$D$3:$F$154,3,FALSE)</f>
        <v>Relationeel datamodel</v>
      </c>
      <c r="D42" s="75" t="s">
        <v>14</v>
      </c>
      <c r="E42" s="75" t="s">
        <v>15</v>
      </c>
      <c r="H42" s="59" t="b">
        <f>J42</f>
        <v>0</v>
      </c>
      <c r="I42" s="59" t="b">
        <f>IF(J42=FALSE,TRUE,FALSE)</f>
        <v>1</v>
      </c>
      <c r="J42" s="59" t="b">
        <f>IF(VLOOKUP($A42,$A$21:$N$35,13,FALSE)&gt;0,TRUE,FALSE)</f>
        <v>0</v>
      </c>
    </row>
    <row r="45" spans="1:15" x14ac:dyDescent="0.35">
      <c r="B45" t="s">
        <v>229</v>
      </c>
    </row>
    <row r="46" spans="1:15" x14ac:dyDescent="0.35">
      <c r="B46" s="76" t="s">
        <v>14</v>
      </c>
      <c r="C46" t="s">
        <v>230</v>
      </c>
      <c r="H46" s="59" t="b">
        <f>E38</f>
        <v>0</v>
      </c>
    </row>
    <row r="47" spans="1:15" x14ac:dyDescent="0.35">
      <c r="B47" s="76" t="s">
        <v>15</v>
      </c>
      <c r="C47" t="s">
        <v>231</v>
      </c>
      <c r="H47" s="59" t="b">
        <f>IF(E38=FALSE,TRUE,FALSE)</f>
        <v>1</v>
      </c>
    </row>
    <row r="49" spans="2:4" ht="26.15" customHeight="1" x14ac:dyDescent="0.35">
      <c r="B49" s="67" t="s">
        <v>201</v>
      </c>
    </row>
    <row r="50" spans="2:4" x14ac:dyDescent="0.35">
      <c r="B50" s="68" t="s">
        <v>202</v>
      </c>
      <c r="C50" s="68" t="s">
        <v>203</v>
      </c>
      <c r="D50" s="71" t="s">
        <v>204</v>
      </c>
    </row>
    <row r="51" spans="2:4" x14ac:dyDescent="0.35">
      <c r="B51" s="69">
        <v>0</v>
      </c>
      <c r="C51" s="72">
        <f t="shared" ref="C51:C70" si="0">ROUNDUP(IF(B51&lt;$B$8,4.5/$B$8*B51+1,4.5/($B$4-$B$8)*(B51-$B$8)+5.5),1)</f>
        <v>1</v>
      </c>
      <c r="D51" s="61" t="str">
        <f t="shared" ref="D51:D70" si="1">IF($B51=$B$5,"X","")</f>
        <v>X</v>
      </c>
    </row>
    <row r="52" spans="2:4" x14ac:dyDescent="0.35">
      <c r="B52" s="69">
        <v>1</v>
      </c>
      <c r="C52" s="72">
        <f t="shared" si="0"/>
        <v>1.5</v>
      </c>
      <c r="D52" s="61" t="str">
        <f t="shared" si="1"/>
        <v/>
      </c>
    </row>
    <row r="53" spans="2:4" x14ac:dyDescent="0.35">
      <c r="B53" s="69">
        <v>2</v>
      </c>
      <c r="C53" s="72">
        <f t="shared" si="0"/>
        <v>2</v>
      </c>
      <c r="D53" s="61" t="str">
        <f t="shared" si="1"/>
        <v/>
      </c>
    </row>
    <row r="54" spans="2:4" x14ac:dyDescent="0.35">
      <c r="B54" s="69">
        <v>3</v>
      </c>
      <c r="C54" s="72">
        <f t="shared" si="0"/>
        <v>2.5</v>
      </c>
      <c r="D54" s="61" t="str">
        <f t="shared" si="1"/>
        <v/>
      </c>
    </row>
    <row r="55" spans="2:4" x14ac:dyDescent="0.35">
      <c r="B55" s="69">
        <v>4</v>
      </c>
      <c r="C55" s="72">
        <f t="shared" si="0"/>
        <v>2.9</v>
      </c>
      <c r="D55" s="61" t="str">
        <f t="shared" si="1"/>
        <v/>
      </c>
    </row>
    <row r="56" spans="2:4" x14ac:dyDescent="0.35">
      <c r="B56" s="69">
        <v>5</v>
      </c>
      <c r="C56" s="72">
        <f t="shared" si="0"/>
        <v>3.4</v>
      </c>
      <c r="D56" s="61" t="str">
        <f t="shared" si="1"/>
        <v/>
      </c>
    </row>
    <row r="57" spans="2:4" x14ac:dyDescent="0.35">
      <c r="B57" s="69">
        <v>6</v>
      </c>
      <c r="C57" s="72">
        <f t="shared" si="0"/>
        <v>3.9</v>
      </c>
      <c r="D57" s="61" t="str">
        <f t="shared" si="1"/>
        <v/>
      </c>
    </row>
    <row r="58" spans="2:4" x14ac:dyDescent="0.35">
      <c r="B58" s="69">
        <v>7</v>
      </c>
      <c r="C58" s="72">
        <f t="shared" si="0"/>
        <v>4.3999999999999995</v>
      </c>
      <c r="D58" s="61" t="str">
        <f t="shared" si="1"/>
        <v/>
      </c>
    </row>
    <row r="59" spans="2:4" x14ac:dyDescent="0.35">
      <c r="B59" s="69">
        <v>8</v>
      </c>
      <c r="C59" s="72">
        <f t="shared" si="0"/>
        <v>4.8</v>
      </c>
      <c r="D59" s="61" t="str">
        <f t="shared" si="1"/>
        <v/>
      </c>
    </row>
    <row r="60" spans="2:4" x14ac:dyDescent="0.35">
      <c r="B60" s="69">
        <v>9</v>
      </c>
      <c r="C60" s="72">
        <f t="shared" si="0"/>
        <v>5.3</v>
      </c>
      <c r="D60" s="61" t="str">
        <f t="shared" si="1"/>
        <v/>
      </c>
    </row>
    <row r="61" spans="2:4" x14ac:dyDescent="0.35">
      <c r="B61" s="69">
        <v>10</v>
      </c>
      <c r="C61" s="72">
        <f t="shared" si="0"/>
        <v>5.8</v>
      </c>
      <c r="D61" s="61" t="str">
        <f t="shared" si="1"/>
        <v/>
      </c>
    </row>
    <row r="62" spans="2:4" x14ac:dyDescent="0.35">
      <c r="B62" s="69">
        <v>11</v>
      </c>
      <c r="C62" s="72">
        <f t="shared" si="0"/>
        <v>6.3</v>
      </c>
      <c r="D62" s="61" t="str">
        <f t="shared" si="1"/>
        <v/>
      </c>
    </row>
    <row r="63" spans="2:4" x14ac:dyDescent="0.35">
      <c r="B63" s="69">
        <v>12</v>
      </c>
      <c r="C63" s="72">
        <f t="shared" si="0"/>
        <v>6.6999999999999993</v>
      </c>
      <c r="D63" s="61" t="str">
        <f t="shared" si="1"/>
        <v/>
      </c>
    </row>
    <row r="64" spans="2:4" x14ac:dyDescent="0.35">
      <c r="B64" s="69">
        <v>13</v>
      </c>
      <c r="C64" s="72">
        <f t="shared" si="0"/>
        <v>7.1999999999999993</v>
      </c>
      <c r="D64" s="61" t="str">
        <f t="shared" si="1"/>
        <v/>
      </c>
    </row>
    <row r="65" spans="2:7" x14ac:dyDescent="0.35">
      <c r="B65" s="69">
        <v>14</v>
      </c>
      <c r="C65" s="72">
        <f t="shared" si="0"/>
        <v>7.6999999999999993</v>
      </c>
      <c r="D65" s="61" t="str">
        <f t="shared" si="1"/>
        <v/>
      </c>
    </row>
    <row r="66" spans="2:7" x14ac:dyDescent="0.35">
      <c r="B66" s="69">
        <v>15</v>
      </c>
      <c r="C66" s="72">
        <f t="shared" si="0"/>
        <v>8.1999999999999993</v>
      </c>
      <c r="D66" s="61" t="str">
        <f t="shared" si="1"/>
        <v/>
      </c>
    </row>
    <row r="67" spans="2:7" x14ac:dyDescent="0.35">
      <c r="B67" s="69">
        <v>16</v>
      </c>
      <c r="C67" s="72">
        <f t="shared" si="0"/>
        <v>8.6</v>
      </c>
      <c r="D67" s="61" t="str">
        <f t="shared" si="1"/>
        <v/>
      </c>
    </row>
    <row r="68" spans="2:7" x14ac:dyDescent="0.35">
      <c r="B68" s="69">
        <v>17</v>
      </c>
      <c r="C68" s="72">
        <f t="shared" si="0"/>
        <v>9.1</v>
      </c>
      <c r="D68" s="61" t="str">
        <f t="shared" si="1"/>
        <v/>
      </c>
    </row>
    <row r="69" spans="2:7" x14ac:dyDescent="0.35">
      <c r="B69" s="69">
        <v>18</v>
      </c>
      <c r="C69" s="72">
        <f t="shared" si="0"/>
        <v>9.6</v>
      </c>
      <c r="D69" s="61" t="str">
        <f t="shared" si="1"/>
        <v/>
      </c>
    </row>
    <row r="70" spans="2:7" x14ac:dyDescent="0.35">
      <c r="B70" s="69">
        <v>19</v>
      </c>
      <c r="C70" s="72">
        <f t="shared" si="0"/>
        <v>10</v>
      </c>
      <c r="D70" s="61" t="str">
        <f t="shared" si="1"/>
        <v/>
      </c>
    </row>
    <row r="72" spans="2:7" ht="26.15" customHeight="1" x14ac:dyDescent="0.35">
      <c r="B72" s="67" t="s">
        <v>205</v>
      </c>
    </row>
    <row r="73" spans="2:7" x14ac:dyDescent="0.35">
      <c r="B73" t="s">
        <v>206</v>
      </c>
    </row>
    <row r="74" spans="2:7" ht="35.15" customHeight="1" x14ac:dyDescent="0.35">
      <c r="B74" s="98" t="s">
        <v>207</v>
      </c>
      <c r="C74" s="98"/>
      <c r="D74" s="98"/>
      <c r="E74" s="98"/>
      <c r="F74" s="98"/>
      <c r="G74" s="98"/>
    </row>
    <row r="75" spans="2:7" ht="300" customHeight="1" x14ac:dyDescent="0.35">
      <c r="B75" s="92"/>
      <c r="C75" s="92"/>
      <c r="D75" s="92"/>
      <c r="E75" s="92"/>
      <c r="F75" s="92"/>
      <c r="G75" s="92"/>
    </row>
    <row r="77" spans="2:7" ht="26.15" customHeight="1" x14ac:dyDescent="0.35">
      <c r="B77" s="67" t="s">
        <v>208</v>
      </c>
    </row>
    <row r="78" spans="2:7" ht="25" customHeight="1" x14ac:dyDescent="0.35">
      <c r="B78" s="19" t="s">
        <v>209</v>
      </c>
    </row>
    <row r="79" spans="2:7" ht="90" customHeight="1" x14ac:dyDescent="0.35">
      <c r="B79" s="73" t="s">
        <v>19</v>
      </c>
      <c r="C79" s="93"/>
      <c r="D79" s="93"/>
    </row>
    <row r="80" spans="2:7" ht="90" customHeight="1" x14ac:dyDescent="0.35">
      <c r="B80" s="74" t="s">
        <v>20</v>
      </c>
      <c r="C80" s="94"/>
      <c r="D80" s="94"/>
    </row>
  </sheetData>
  <mergeCells count="10">
    <mergeCell ref="B74:G74"/>
    <mergeCell ref="B75:G75"/>
    <mergeCell ref="C79:D79"/>
    <mergeCell ref="C80:D80"/>
    <mergeCell ref="B10:G10"/>
    <mergeCell ref="B11:G11"/>
    <mergeCell ref="B13:G13"/>
    <mergeCell ref="B21:G21"/>
    <mergeCell ref="B29:G29"/>
    <mergeCell ref="B36:G36"/>
  </mergeCells>
  <conditionalFormatting sqref="B24:G24">
    <cfRule type="expression" dxfId="14" priority="1" stopIfTrue="1">
      <formula>COUNTIF($I24:$L24,TRUE)&gt;1</formula>
    </cfRule>
  </conditionalFormatting>
  <conditionalFormatting sqref="B25:G25">
    <cfRule type="expression" dxfId="13" priority="2" stopIfTrue="1">
      <formula>COUNTIF($I25:$L25,TRUE)&gt;1</formula>
    </cfRule>
  </conditionalFormatting>
  <conditionalFormatting sqref="B26:G26">
    <cfRule type="expression" dxfId="12" priority="3" stopIfTrue="1">
      <formula>COUNTIF($I26:$L26,TRUE)&gt;1</formula>
    </cfRule>
  </conditionalFormatting>
  <conditionalFormatting sqref="B27:G27">
    <cfRule type="expression" dxfId="11" priority="4" stopIfTrue="1">
      <formula>COUNTIF($I27:$L27,TRUE)&gt;1</formula>
    </cfRule>
  </conditionalFormatting>
  <conditionalFormatting sqref="B32:G32">
    <cfRule type="expression" dxfId="10" priority="5" stopIfTrue="1">
      <formula>COUNTIF($I32:$L32,TRUE)&gt;1</formula>
    </cfRule>
  </conditionalFormatting>
  <conditionalFormatting sqref="B33:G33">
    <cfRule type="expression" dxfId="9" priority="6" stopIfTrue="1">
      <formula>COUNTIF($I33:$L33,TRUE)&gt;1</formula>
    </cfRule>
  </conditionalFormatting>
  <conditionalFormatting sqref="B34:G34">
    <cfRule type="expression" dxfId="8" priority="7" stopIfTrue="1">
      <formula>COUNTIF($I34:$L34,TRUE)&gt;1</formula>
    </cfRule>
  </conditionalFormatting>
  <conditionalFormatting sqref="B51:C70">
    <cfRule type="expression" dxfId="7" priority="8" stopIfTrue="1">
      <formula>$E$38=FALSE</formula>
    </cfRule>
  </conditionalFormatting>
  <conditionalFormatting sqref="D50:D70">
    <cfRule type="expression" dxfId="6" priority="9" stopIfTrue="1">
      <formula>$E$38=FALSE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8384" r:id="rId18" name="Check Box 16">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8385" r:id="rId19" name="Check Box 17">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838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838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838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838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839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839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839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839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839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839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8396" r:id="rId30" name="Check Box 28">
              <controlPr defaultSize="0" autoFill="0" autoLine="0" autoPict="0">
                <anchor moveWithCells="1">
                  <from>
                    <xdr:col>3</xdr:col>
                    <xdr:colOff>0</xdr:colOff>
                    <xdr:row>39</xdr:row>
                    <xdr:rowOff>0</xdr:rowOff>
                  </from>
                  <to>
                    <xdr:col>4</xdr:col>
                    <xdr:colOff>0</xdr:colOff>
                    <xdr:row>40</xdr:row>
                    <xdr:rowOff>19050</xdr:rowOff>
                  </to>
                </anchor>
              </controlPr>
            </control>
          </mc:Choice>
        </mc:AlternateContent>
        <mc:AlternateContent xmlns:mc="http://schemas.openxmlformats.org/markup-compatibility/2006">
          <mc:Choice Requires="x14">
            <control shapeId="58397" r:id="rId31" name="Check Box 29">
              <controlPr defaultSize="0" autoFill="0" autoLine="0" autoPict="0">
                <anchor moveWithCells="1">
                  <from>
                    <xdr:col>4</xdr:col>
                    <xdr:colOff>0</xdr:colOff>
                    <xdr:row>39</xdr:row>
                    <xdr:rowOff>0</xdr:rowOff>
                  </from>
                  <to>
                    <xdr:col>5</xdr:col>
                    <xdr:colOff>0</xdr:colOff>
                    <xdr:row>40</xdr:row>
                    <xdr:rowOff>19050</xdr:rowOff>
                  </to>
                </anchor>
              </controlPr>
            </control>
          </mc:Choice>
        </mc:AlternateContent>
        <mc:AlternateContent xmlns:mc="http://schemas.openxmlformats.org/markup-compatibility/2006">
          <mc:Choice Requires="x14">
            <control shapeId="58398" r:id="rId32" name="Check Box 30">
              <controlPr defaultSize="0" autoFill="0" autoLine="0" autoPict="0">
                <anchor moveWithCells="1">
                  <from>
                    <xdr:col>3</xdr:col>
                    <xdr:colOff>0</xdr:colOff>
                    <xdr:row>40</xdr:row>
                    <xdr:rowOff>0</xdr:rowOff>
                  </from>
                  <to>
                    <xdr:col>4</xdr:col>
                    <xdr:colOff>0</xdr:colOff>
                    <xdr:row>41</xdr:row>
                    <xdr:rowOff>19050</xdr:rowOff>
                  </to>
                </anchor>
              </controlPr>
            </control>
          </mc:Choice>
        </mc:AlternateContent>
        <mc:AlternateContent xmlns:mc="http://schemas.openxmlformats.org/markup-compatibility/2006">
          <mc:Choice Requires="x14">
            <control shapeId="58399" r:id="rId33" name="Check Box 31">
              <controlPr defaultSize="0" autoFill="0" autoLine="0" autoPict="0">
                <anchor moveWithCells="1">
                  <from>
                    <xdr:col>4</xdr:col>
                    <xdr:colOff>0</xdr:colOff>
                    <xdr:row>40</xdr:row>
                    <xdr:rowOff>0</xdr:rowOff>
                  </from>
                  <to>
                    <xdr:col>5</xdr:col>
                    <xdr:colOff>0</xdr:colOff>
                    <xdr:row>41</xdr:row>
                    <xdr:rowOff>19050</xdr:rowOff>
                  </to>
                </anchor>
              </controlPr>
            </control>
          </mc:Choice>
        </mc:AlternateContent>
        <mc:AlternateContent xmlns:mc="http://schemas.openxmlformats.org/markup-compatibility/2006">
          <mc:Choice Requires="x14">
            <control shapeId="58400" r:id="rId34" name="Check Box 32">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8401" r:id="rId35" name="Check Box 33">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8402" r:id="rId36" name="Check Box 34">
              <controlPr defaultSize="0" autoFill="0" autoLine="0" autoPict="0">
                <anchor moveWithCells="1">
                  <from>
                    <xdr:col>0</xdr:col>
                    <xdr:colOff>0</xdr:colOff>
                    <xdr:row>45</xdr:row>
                    <xdr:rowOff>0</xdr:rowOff>
                  </from>
                  <to>
                    <xdr:col>2</xdr:col>
                    <xdr:colOff>0</xdr:colOff>
                    <xdr:row>46</xdr:row>
                    <xdr:rowOff>19050</xdr:rowOff>
                  </to>
                </anchor>
              </controlPr>
            </control>
          </mc:Choice>
        </mc:AlternateContent>
        <mc:AlternateContent xmlns:mc="http://schemas.openxmlformats.org/markup-compatibility/2006">
          <mc:Choice Requires="x14">
            <control shapeId="58403" r:id="rId37" name="Check Box 35">
              <controlPr defaultSize="0" autoFill="0" autoLine="0" autoPict="0">
                <anchor moveWithCells="1">
                  <from>
                    <xdr:col>0</xdr:col>
                    <xdr:colOff>0</xdr:colOff>
                    <xdr:row>46</xdr:row>
                    <xdr:rowOff>0</xdr:rowOff>
                  </from>
                  <to>
                    <xdr:col>2</xdr:col>
                    <xdr:colOff>0</xdr:colOff>
                    <xdr:row>47</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1">
    <tabColor indexed="22"/>
    <pageSetUpPr fitToPage="1"/>
  </sheetPr>
  <dimension ref="A1:O53"/>
  <sheetViews>
    <sheetView showGridLines="0" topLeftCell="B21" workbookViewId="0">
      <selection activeCell="B21" sqref="B21:G21"/>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75</v>
      </c>
      <c r="C1" s="56" t="str">
        <f>VLOOKUP(B1,werkprocessen,2,FALSE)</f>
        <v xml:space="preserve">Bereidt de realisatie voor </v>
      </c>
    </row>
    <row r="2" spans="1:7" hidden="1" x14ac:dyDescent="0.35">
      <c r="A2" t="s">
        <v>26</v>
      </c>
      <c r="B2" s="6">
        <f>VLOOKUP(B1,KerntakenEnWerkprocessen!B13:E27,3,FALSE)</f>
        <v>5</v>
      </c>
    </row>
    <row r="3" spans="1:7" hidden="1" x14ac:dyDescent="0.35">
      <c r="A3" t="s">
        <v>27</v>
      </c>
      <c r="B3" s="6">
        <f>VLOOKUP(B1,KerntakenEnWerkprocessen!B13:E27,4,FALSE)</f>
        <v>5</v>
      </c>
    </row>
    <row r="4" spans="1:7" hidden="1" x14ac:dyDescent="0.35">
      <c r="A4" t="s">
        <v>32</v>
      </c>
      <c r="B4" s="6">
        <f>SUM(N:N)</f>
        <v>6</v>
      </c>
      <c r="C4" s="55" t="s">
        <v>66</v>
      </c>
      <c r="D4" s="54" t="b">
        <f>IF(SUM(O:O)&gt;0,TRUE,FALSE)</f>
        <v>0</v>
      </c>
    </row>
    <row r="5" spans="1:7" hidden="1" x14ac:dyDescent="0.35">
      <c r="A5" t="s">
        <v>31</v>
      </c>
      <c r="B5" s="6">
        <f>SUM(M:M)</f>
        <v>0</v>
      </c>
    </row>
    <row r="6" spans="1:7" hidden="1" x14ac:dyDescent="0.35">
      <c r="A6" t="s">
        <v>43</v>
      </c>
      <c r="B6" s="6">
        <f>COUNTIF(N:N,1)</f>
        <v>3</v>
      </c>
    </row>
    <row r="7" spans="1:7" hidden="1" x14ac:dyDescent="0.35">
      <c r="A7" t="s">
        <v>44</v>
      </c>
      <c r="B7" s="6">
        <f>COUNTIF(N:N,2)+COUNTIF(N:N,3)</f>
        <v>1</v>
      </c>
    </row>
    <row r="8" spans="1:7" hidden="1" x14ac:dyDescent="0.35">
      <c r="A8" t="s">
        <v>34</v>
      </c>
      <c r="B8" s="6">
        <f>0.5*B4</f>
        <v>3</v>
      </c>
    </row>
    <row r="10" spans="1:7" ht="36.75" customHeight="1" x14ac:dyDescent="0.7">
      <c r="B10" s="86" t="str">
        <f>CONCATENATE(kerntaakCode,": ",kerntaakNaam)</f>
        <v>B1-K1: Levert een bijdrage aan het ontwikkeltraject</v>
      </c>
      <c r="C10" s="86"/>
      <c r="D10" s="86"/>
      <c r="E10" s="86"/>
      <c r="F10" s="86"/>
      <c r="G10" s="86"/>
    </row>
    <row r="11" spans="1:7" ht="28.5" customHeight="1" x14ac:dyDescent="0.6">
      <c r="B11" s="87" t="str">
        <f>CONCATENATE(VLOOKUP(B1,werkprocessen,1,FALSE),": ",C1)</f>
        <v xml:space="preserve">B1-K1-W4: Bereidt de realisatie voor </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5" t="s">
        <v>232</v>
      </c>
      <c r="C21" s="95"/>
      <c r="D21" s="95"/>
      <c r="E21" s="95"/>
      <c r="F21" s="95"/>
      <c r="G21" s="95"/>
    </row>
    <row r="22" spans="1:15" hidden="1" x14ac:dyDescent="0.35">
      <c r="A22" t="s">
        <v>174</v>
      </c>
      <c r="B22" s="59">
        <v>5</v>
      </c>
      <c r="D22" s="8" t="s">
        <v>175</v>
      </c>
      <c r="E22" s="60" t="s">
        <v>233</v>
      </c>
      <c r="G22" s="8" t="s">
        <v>177</v>
      </c>
      <c r="H22" s="59">
        <f>COUNTIF(Beheersingsniveaus!$C$4:$C$154,$E22)</f>
        <v>4</v>
      </c>
    </row>
    <row r="23" spans="1:15" x14ac:dyDescent="0.35">
      <c r="A23" t="s">
        <v>29</v>
      </c>
      <c r="B23" s="62" t="s">
        <v>178</v>
      </c>
      <c r="C23" s="62" t="s">
        <v>3</v>
      </c>
      <c r="D23" s="62">
        <v>0</v>
      </c>
      <c r="E23" s="62">
        <v>1</v>
      </c>
      <c r="F23" s="62">
        <v>2</v>
      </c>
      <c r="G23" s="62">
        <v>3</v>
      </c>
      <c r="H23" t="s">
        <v>8</v>
      </c>
      <c r="I23" t="s">
        <v>179</v>
      </c>
      <c r="J23" t="s">
        <v>180</v>
      </c>
      <c r="K23" t="s">
        <v>181</v>
      </c>
      <c r="L23" t="s">
        <v>182</v>
      </c>
      <c r="M23" t="s">
        <v>31</v>
      </c>
      <c r="N23" t="s">
        <v>32</v>
      </c>
      <c r="O23" t="s">
        <v>183</v>
      </c>
    </row>
    <row r="24" spans="1:15" ht="220" customHeight="1" x14ac:dyDescent="0.35">
      <c r="A24" s="63" t="s">
        <v>234</v>
      </c>
      <c r="B24" s="64" t="str">
        <f>VLOOKUP($A24,Beheersingsniveaus!$D$4:$K$154,2,FALSE)</f>
        <v>T1</v>
      </c>
      <c r="C24" s="64" t="str">
        <f>CONCATENATE(VLOOKUP($A24,Beheersingsniveaus!$D$4:$K$154,3,FALSE),IF($H24=ja,"*",""))</f>
        <v>Benodigde onderdelen</v>
      </c>
      <c r="D24" s="65" t="str">
        <f>VLOOKUP($A24,Beheersingsniveaus!$D$4:$K$154,4,FALSE)</f>
        <v>Weinig van de benodigde software voor de ontwikkelomgeving is beschreven.
Weinig van de benodigde hardware voor de ontwikkelomgeving is beschreven.</v>
      </c>
      <c r="E24" s="65" t="str">
        <f>VLOOKUP($A24,Beheersingsniveaus!$D$4:$K$154,5,FALSE)</f>
        <v xml:space="preserve">De benodigde software voor de ontwikkelomgeving is op enkele onderdelen na volledig beschreven.
De benodigde hardware voor de ontwikkelomgeving is op enkele onderdelen na volledig beschreven.
</v>
      </c>
      <c r="F24" s="65" t="str">
        <f>VLOOKUP($A24,Beheersingsniveaus!$D$4:$K$154,6,FALSE)</f>
        <v>De benodigde software voor de ontwikkelomgeving is op kleinigheden na volledig beschreven.
De benodigde hardware voor de ontwikkelomgeving is op kleinigheden na volledig beschreven.</v>
      </c>
      <c r="G24" s="65" t="str">
        <f>VLOOKUP($A24,Beheersingsniveaus!$D$4:$K$154,7,FALSE)</f>
        <v>De benodigde software voor de ontwikkelomgeving is volledig beschreven.
De benodigde hardware voor de ontwikkelomgeving is volledig beschreven.</v>
      </c>
      <c r="H24" s="59">
        <f>VLOOKUP($A24,Beheersingsniveaus!$D$4:$K$154,8,FALSE)</f>
        <v>0</v>
      </c>
      <c r="I24" s="59"/>
      <c r="J24" s="59"/>
      <c r="K24" s="59"/>
      <c r="L24" s="59"/>
      <c r="M24" s="59">
        <f>IF(L24=TRUE,3,IF(K24=TRUE,2,IF(J24=TRUE,1,IF(I24=TRUE,0,0))))</f>
        <v>0</v>
      </c>
      <c r="N24" s="59">
        <f>(4-COUNTBLANK(D24:G24))-1</f>
        <v>3</v>
      </c>
      <c r="O24" s="59">
        <f>COUNTA(I24:L24)</f>
        <v>0</v>
      </c>
    </row>
    <row r="25" spans="1:15" ht="100" customHeight="1" x14ac:dyDescent="0.35">
      <c r="A25" s="63" t="s">
        <v>235</v>
      </c>
      <c r="B25" s="64" t="str">
        <f>VLOOKUP($A25,Beheersingsniveaus!$D$4:$K$154,2,FALSE)</f>
        <v>T2</v>
      </c>
      <c r="C25" s="64" t="str">
        <f>CONCATENATE(VLOOKUP($A25,Beheersingsniveaus!$D$4:$K$154,3,FALSE),IF($H25=ja,"*",""))</f>
        <v>Installeren en configureren</v>
      </c>
      <c r="D25" s="65" t="str">
        <f>VLOOKUP($A25,Beheersingsniveaus!$D$4:$K$154,4,FALSE)</f>
        <v xml:space="preserve">De ontwikkelomgeving is niet juist geïnstalleerd en geconfigureerd.
</v>
      </c>
      <c r="E25" s="65" t="str">
        <f>VLOOKUP($A25,Beheersingsniveaus!$D$4:$K$154,5,FALSE)</f>
        <v>De ontwikkelomgeving is juist geïnstalleerd en geconfigureerd.</v>
      </c>
      <c r="F25" s="66"/>
      <c r="G25" s="66"/>
      <c r="H25" s="59">
        <f>VLOOKUP($A25,Beheersingsniveaus!$D$4:$K$154,8,FALSE)</f>
        <v>0</v>
      </c>
      <c r="I25" s="59"/>
      <c r="J25" s="59"/>
      <c r="K25" s="59"/>
      <c r="L25" s="59"/>
      <c r="M25" s="59">
        <f>IF(L25=TRUE,3,IF(K25=TRUE,2,IF(J25=TRUE,1,IF(I25=TRUE,0,0))))</f>
        <v>0</v>
      </c>
      <c r="N25" s="59">
        <f>(4-COUNTBLANK(D25:G25))-1</f>
        <v>1</v>
      </c>
      <c r="O25" s="59">
        <f>COUNTA(I25:L25)</f>
        <v>0</v>
      </c>
    </row>
    <row r="26" spans="1:15" ht="70" customHeight="1" x14ac:dyDescent="0.35">
      <c r="A26" s="63" t="s">
        <v>236</v>
      </c>
      <c r="B26" s="64" t="str">
        <f>VLOOKUP($A26,Beheersingsniveaus!$D$4:$K$154,2,FALSE)</f>
        <v>T3</v>
      </c>
      <c r="C26" s="64" t="str">
        <f>CONCATENATE(VLOOKUP($A26,Beheersingsniveaus!$D$4:$K$154,3,FALSE),IF($H26=ja,"*",""))</f>
        <v>Testen*</v>
      </c>
      <c r="D26" s="65" t="str">
        <f>VLOOKUP($A26,Beheersingsniveaus!$D$4:$K$154,4,FALSE)</f>
        <v xml:space="preserve">De ontwikkelomgeving is niet getest.
</v>
      </c>
      <c r="E26" s="65" t="str">
        <f>VLOOKUP($A26,Beheersingsniveaus!$D$4:$K$154,5,FALSE)</f>
        <v>De ontwikkelomgeving is getest.</v>
      </c>
      <c r="F26" s="66"/>
      <c r="G26" s="66"/>
      <c r="H26" s="59" t="str">
        <f>VLOOKUP($A26,Beheersingsniveaus!$D$4:$K$154,8,FALSE)</f>
        <v>Ja</v>
      </c>
      <c r="I26" s="59"/>
      <c r="J26" s="59"/>
      <c r="K26" s="59"/>
      <c r="L26" s="59"/>
      <c r="M26" s="59">
        <f>IF(L26=TRUE,3,IF(K26=TRUE,2,IF(J26=TRUE,1,IF(I26=TRUE,0,0))))</f>
        <v>0</v>
      </c>
      <c r="N26" s="59">
        <f>(4-COUNTBLANK(D26:G26))-1</f>
        <v>1</v>
      </c>
      <c r="O26" s="59">
        <f>COUNTA(I26:L26)</f>
        <v>0</v>
      </c>
    </row>
    <row r="27" spans="1:15" ht="85" customHeight="1" x14ac:dyDescent="0.35">
      <c r="A27" s="63" t="s">
        <v>237</v>
      </c>
      <c r="B27" s="64" t="str">
        <f>VLOOKUP($A27,Beheersingsniveaus!$D$4:$K$154,2,FALSE)</f>
        <v>T4</v>
      </c>
      <c r="C27" s="64" t="str">
        <f>CONCATENATE(VLOOKUP($A27,Beheersingsniveaus!$D$4:$K$154,3,FALSE),IF($H27=ja,"*",""))</f>
        <v>Documenteren</v>
      </c>
      <c r="D27" s="65" t="str">
        <f>VLOOKUP($A27,Beheersingsniveaus!$D$4:$K$154,4,FALSE)</f>
        <v xml:space="preserve">De documentatie is niet volledig en/of correct en/of duidelijk.
</v>
      </c>
      <c r="E27" s="65" t="str">
        <f>VLOOKUP($A27,Beheersingsniveaus!$D$4:$K$154,5,FALSE)</f>
        <v>De documentatie is volledig, correct en duidelijk.</v>
      </c>
      <c r="F27" s="66"/>
      <c r="G27" s="66"/>
      <c r="H27" s="59">
        <f>VLOOKUP($A27,Beheersingsniveaus!$D$4:$K$154,8,FALSE)</f>
        <v>0</v>
      </c>
      <c r="I27" s="59"/>
      <c r="J27" s="59"/>
      <c r="K27" s="59"/>
      <c r="L27" s="59"/>
      <c r="M27" s="59">
        <f>IF(L27=TRUE,3,IF(K27=TRUE,2,IF(J27=TRUE,1,IF(I27=TRUE,0,0))))</f>
        <v>0</v>
      </c>
      <c r="N27" s="59">
        <f>(4-COUNTBLANK(D27:G27))-1</f>
        <v>1</v>
      </c>
      <c r="O27" s="59">
        <f>COUNTA(I27:L27)</f>
        <v>0</v>
      </c>
    </row>
    <row r="28" spans="1:15" x14ac:dyDescent="0.35">
      <c r="B28" t="s">
        <v>191</v>
      </c>
    </row>
    <row r="29" spans="1:15" ht="28.5" customHeight="1" x14ac:dyDescent="0.6">
      <c r="B29" s="96" t="s">
        <v>238</v>
      </c>
      <c r="C29" s="97"/>
      <c r="D29" s="97"/>
      <c r="E29" s="97"/>
      <c r="F29" s="97"/>
      <c r="G29" s="97"/>
    </row>
    <row r="30" spans="1:15" ht="26.15" customHeight="1" x14ac:dyDescent="0.35">
      <c r="B30" s="67" t="s">
        <v>193</v>
      </c>
    </row>
    <row r="31" spans="1:15" hidden="1" x14ac:dyDescent="0.35">
      <c r="B31" t="s">
        <v>194</v>
      </c>
      <c r="C31" s="59">
        <f>COUNTIF($H:$H,ja)</f>
        <v>1</v>
      </c>
      <c r="D31" s="8" t="s">
        <v>195</v>
      </c>
      <c r="E31" s="60" t="b">
        <f>IF(COUNTIF(J31:J33,FALSE)=0,TRUE,FALSE)</f>
        <v>0</v>
      </c>
    </row>
    <row r="32" spans="1:15" x14ac:dyDescent="0.35">
      <c r="A32" t="s">
        <v>29</v>
      </c>
      <c r="B32" s="68" t="s">
        <v>196</v>
      </c>
      <c r="C32" s="68"/>
      <c r="D32" s="70" t="s">
        <v>197</v>
      </c>
      <c r="E32" s="71"/>
      <c r="H32" t="s">
        <v>198</v>
      </c>
      <c r="I32" t="s">
        <v>199</v>
      </c>
      <c r="J32" t="s">
        <v>200</v>
      </c>
    </row>
    <row r="33" spans="1:10" x14ac:dyDescent="0.35">
      <c r="A33" s="59" t="s">
        <v>236</v>
      </c>
      <c r="B33" t="str">
        <f>VLOOKUP($A33,Beheersingsniveaus!$D$3:$F$154,3,FALSE)</f>
        <v>Testen</v>
      </c>
      <c r="D33" s="69" t="str">
        <f>CONCATENATE(IF(VLOOKUP(A33,A21:N28,13,FALSE)&gt;0,"Behaald","Niet behaald"))</f>
        <v>Niet behaald</v>
      </c>
      <c r="J33" s="59" t="b">
        <f>IF(VLOOKUP($A33,$A$21:$N$28,13,FALSE)&gt;0,TRUE,FALSE)</f>
        <v>0</v>
      </c>
    </row>
    <row r="35" spans="1:10" ht="26.15" customHeight="1" x14ac:dyDescent="0.35">
      <c r="B35" s="67" t="s">
        <v>201</v>
      </c>
    </row>
    <row r="36" spans="1:10" x14ac:dyDescent="0.35">
      <c r="B36" s="68" t="s">
        <v>202</v>
      </c>
      <c r="C36" s="68" t="s">
        <v>203</v>
      </c>
      <c r="D36" s="71" t="s">
        <v>204</v>
      </c>
    </row>
    <row r="37" spans="1:10" x14ac:dyDescent="0.35">
      <c r="B37" s="69">
        <v>0</v>
      </c>
      <c r="C37" s="72">
        <f t="shared" ref="C37:C43" si="0">ROUNDUP(IF(B37&lt;$B$8,4.5/$B$8*B37+1,4.5/($B$4-$B$8)*(B37-$B$8)+5.5),1)</f>
        <v>1</v>
      </c>
      <c r="D37" s="61" t="str">
        <f t="shared" ref="D37:D43" si="1">IF($B37=$B$5,"X","")</f>
        <v>X</v>
      </c>
    </row>
    <row r="38" spans="1:10" x14ac:dyDescent="0.35">
      <c r="B38" s="69">
        <v>1</v>
      </c>
      <c r="C38" s="72">
        <f t="shared" si="0"/>
        <v>2.5</v>
      </c>
      <c r="D38" s="61" t="str">
        <f t="shared" si="1"/>
        <v/>
      </c>
    </row>
    <row r="39" spans="1:10" x14ac:dyDescent="0.35">
      <c r="B39" s="69">
        <v>2</v>
      </c>
      <c r="C39" s="72">
        <f t="shared" si="0"/>
        <v>4</v>
      </c>
      <c r="D39" s="61" t="str">
        <f t="shared" si="1"/>
        <v/>
      </c>
    </row>
    <row r="40" spans="1:10" x14ac:dyDescent="0.35">
      <c r="B40" s="69">
        <v>3</v>
      </c>
      <c r="C40" s="72">
        <f t="shared" si="0"/>
        <v>5.5</v>
      </c>
      <c r="D40" s="61" t="str">
        <f t="shared" si="1"/>
        <v/>
      </c>
    </row>
    <row r="41" spans="1:10" x14ac:dyDescent="0.35">
      <c r="B41" s="69">
        <v>4</v>
      </c>
      <c r="C41" s="72">
        <f t="shared" si="0"/>
        <v>7</v>
      </c>
      <c r="D41" s="61" t="str">
        <f t="shared" si="1"/>
        <v/>
      </c>
    </row>
    <row r="42" spans="1:10" x14ac:dyDescent="0.35">
      <c r="B42" s="69">
        <v>5</v>
      </c>
      <c r="C42" s="72">
        <f t="shared" si="0"/>
        <v>8.5</v>
      </c>
      <c r="D42" s="61" t="str">
        <f t="shared" si="1"/>
        <v/>
      </c>
    </row>
    <row r="43" spans="1:10" x14ac:dyDescent="0.35">
      <c r="B43" s="69">
        <v>6</v>
      </c>
      <c r="C43" s="72">
        <f t="shared" si="0"/>
        <v>10</v>
      </c>
      <c r="D43" s="61" t="str">
        <f t="shared" si="1"/>
        <v/>
      </c>
    </row>
    <row r="45" spans="1:10" ht="26.15" customHeight="1" x14ac:dyDescent="0.35">
      <c r="B45" s="67" t="s">
        <v>205</v>
      </c>
    </row>
    <row r="46" spans="1:10" x14ac:dyDescent="0.35">
      <c r="B46" t="s">
        <v>206</v>
      </c>
    </row>
    <row r="47" spans="1:10" ht="35.15" customHeight="1" x14ac:dyDescent="0.35">
      <c r="B47" s="98" t="s">
        <v>207</v>
      </c>
      <c r="C47" s="98"/>
      <c r="D47" s="98"/>
      <c r="E47" s="98"/>
      <c r="F47" s="98"/>
      <c r="G47" s="98"/>
    </row>
    <row r="48" spans="1:10" ht="300" customHeight="1" x14ac:dyDescent="0.35">
      <c r="B48" s="92"/>
      <c r="C48" s="92"/>
      <c r="D48" s="92"/>
      <c r="E48" s="92"/>
      <c r="F48" s="92"/>
      <c r="G48" s="92"/>
    </row>
    <row r="50" spans="2:4" ht="26.15" customHeight="1" x14ac:dyDescent="0.35">
      <c r="B50" s="67" t="s">
        <v>208</v>
      </c>
    </row>
    <row r="51" spans="2:4" ht="25" customHeight="1" x14ac:dyDescent="0.35">
      <c r="B51" s="19" t="s">
        <v>209</v>
      </c>
    </row>
    <row r="52" spans="2:4" ht="90" customHeight="1" x14ac:dyDescent="0.35">
      <c r="B52" s="73" t="s">
        <v>19</v>
      </c>
      <c r="C52" s="93"/>
      <c r="D52" s="93"/>
    </row>
    <row r="53" spans="2:4" ht="90" customHeight="1" x14ac:dyDescent="0.35">
      <c r="B53" s="74" t="s">
        <v>20</v>
      </c>
      <c r="C53" s="94"/>
      <c r="D53" s="94"/>
    </row>
  </sheetData>
  <mergeCells count="9">
    <mergeCell ref="B48:G48"/>
    <mergeCell ref="C52:D52"/>
    <mergeCell ref="C53:D53"/>
    <mergeCell ref="B10:G10"/>
    <mergeCell ref="B11:G11"/>
    <mergeCell ref="B13:G13"/>
    <mergeCell ref="B21:G21"/>
    <mergeCell ref="B29:G29"/>
    <mergeCell ref="B47:G47"/>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7:C43">
    <cfRule type="expression" dxfId="1" priority="5" stopIfTrue="1">
      <formula>$E$31=FALSE</formula>
    </cfRule>
  </conditionalFormatting>
  <conditionalFormatting sqref="D36:D43">
    <cfRule type="expression" dxfId="0"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939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9396"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9397"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9398"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9399"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9400"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9401"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940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940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5</vt:i4>
      </vt:variant>
      <vt:variant>
        <vt:lpstr>Benoemde bereiken</vt:lpstr>
      </vt:variant>
      <vt:variant>
        <vt:i4>19</vt:i4>
      </vt:variant>
    </vt:vector>
  </HeadingPairs>
  <TitlesOfParts>
    <vt:vector size="24" baseType="lpstr">
      <vt:lpstr>Voorblad</vt:lpstr>
      <vt:lpstr>B1-K1-W1</vt:lpstr>
      <vt:lpstr>B1-K1-W2</vt:lpstr>
      <vt:lpstr>B1-K1-W3</vt:lpstr>
      <vt:lpstr>B1-K1-W4</vt:lpstr>
      <vt:lpstr>'B1-K1-W1'!Afdrukbereik</vt:lpstr>
      <vt:lpstr>'B1-K1-W2'!Afdrukbereik</vt:lpstr>
      <vt:lpstr>'B1-K1-W3'!Afdrukbereik</vt:lpstr>
      <vt:lpstr>'B1-K1-W4'!Afdrukbereik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Irma Koerhuis</cp:lastModifiedBy>
  <cp:lastPrinted>2016-07-21T08:14:17Z</cp:lastPrinted>
  <dcterms:created xsi:type="dcterms:W3CDTF">2015-10-30T11:14:52Z</dcterms:created>
  <dcterms:modified xsi:type="dcterms:W3CDTF">2020-07-16T06:09:44Z</dcterms:modified>
</cp:coreProperties>
</file>